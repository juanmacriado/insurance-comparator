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eoris-my.sharepoint.com/personal/juanma_criado_xeoris_com/Documents/XEORIS/Aseguradoras/comisiones/"/>
    </mc:Choice>
  </mc:AlternateContent>
  <xr:revisionPtr revIDLastSave="0" documentId="8_{98363A58-A20F-B146-BEE0-CFA10ABE5110}" xr6:coauthVersionLast="47" xr6:coauthVersionMax="47" xr10:uidLastSave="{00000000-0000-0000-0000-000000000000}"/>
  <bookViews>
    <workbookView xWindow="460" yWindow="2960" windowWidth="27240" windowHeight="16160" xr2:uid="{41605602-E2CD-214E-AF0A-D0763901C18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8" i="1" l="1"/>
  <c r="M68" i="1"/>
  <c r="L69" i="1"/>
  <c r="M69" i="1" s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O67" i="1"/>
  <c r="O66" i="1"/>
  <c r="O65" i="1"/>
  <c r="O64" i="1"/>
  <c r="O63" i="1"/>
  <c r="O62" i="1"/>
  <c r="O61" i="1"/>
  <c r="O60" i="1"/>
  <c r="O59" i="1"/>
  <c r="O58" i="1"/>
  <c r="O57" i="1"/>
  <c r="O56" i="1"/>
  <c r="M56" i="1"/>
  <c r="O55" i="1"/>
  <c r="M55" i="1"/>
  <c r="O54" i="1"/>
  <c r="M54" i="1"/>
  <c r="O53" i="1"/>
  <c r="O52" i="1"/>
  <c r="O51" i="1"/>
  <c r="M51" i="1"/>
  <c r="O50" i="1"/>
  <c r="O49" i="1"/>
  <c r="O48" i="1"/>
  <c r="O47" i="1"/>
  <c r="M47" i="1"/>
  <c r="O46" i="1"/>
  <c r="M46" i="1"/>
  <c r="O45" i="1"/>
  <c r="O44" i="1"/>
  <c r="O43" i="1"/>
  <c r="O42" i="1"/>
  <c r="O41" i="1"/>
  <c r="L39" i="1"/>
  <c r="N39" i="1" s="1"/>
  <c r="O39" i="1" s="1"/>
  <c r="L38" i="1"/>
  <c r="M38" i="1" s="1"/>
  <c r="L37" i="1"/>
  <c r="N37" i="1" s="1"/>
  <c r="O37" i="1" s="1"/>
  <c r="L36" i="1"/>
  <c r="M36" i="1" s="1"/>
  <c r="L34" i="1"/>
  <c r="N34" i="1" s="1"/>
  <c r="O34" i="1" s="1"/>
  <c r="L33" i="1"/>
  <c r="N33" i="1" s="1"/>
  <c r="O33" i="1" s="1"/>
  <c r="L31" i="1"/>
  <c r="N31" i="1" s="1"/>
  <c r="L30" i="1"/>
  <c r="N30" i="1" s="1"/>
  <c r="O30" i="1" s="1"/>
  <c r="L29" i="1"/>
  <c r="M29" i="1" s="1"/>
  <c r="L28" i="1"/>
  <c r="N28" i="1" s="1"/>
  <c r="L27" i="1"/>
  <c r="N27" i="1" s="1"/>
  <c r="L26" i="1"/>
  <c r="N26" i="1" s="1"/>
  <c r="O26" i="1" s="1"/>
  <c r="L25" i="1"/>
  <c r="M25" i="1" s="1"/>
  <c r="O24" i="1"/>
  <c r="M24" i="1"/>
  <c r="L23" i="1"/>
  <c r="M23" i="1" s="1"/>
  <c r="L22" i="1"/>
  <c r="N22" i="1" s="1"/>
  <c r="O22" i="1" s="1"/>
  <c r="L21" i="1"/>
  <c r="J21" i="1"/>
  <c r="O20" i="1"/>
  <c r="M20" i="1"/>
  <c r="O19" i="1"/>
  <c r="M19" i="1"/>
  <c r="O18" i="1"/>
  <c r="M18" i="1"/>
  <c r="O17" i="1"/>
  <c r="M17" i="1"/>
  <c r="O16" i="1"/>
  <c r="M16" i="1"/>
  <c r="L15" i="1"/>
  <c r="M15" i="1" s="1"/>
  <c r="O14" i="1"/>
  <c r="M14" i="1"/>
  <c r="O13" i="1"/>
  <c r="M13" i="1"/>
  <c r="O12" i="1"/>
  <c r="M12" i="1"/>
  <c r="O11" i="1"/>
  <c r="M11" i="1"/>
  <c r="O10" i="1"/>
  <c r="M10" i="1"/>
  <c r="O9" i="1"/>
  <c r="M9" i="1"/>
  <c r="O8" i="1"/>
  <c r="M8" i="1"/>
  <c r="O7" i="1"/>
  <c r="M7" i="1"/>
  <c r="O6" i="1"/>
  <c r="M6" i="1"/>
  <c r="O5" i="1"/>
  <c r="M5" i="1"/>
  <c r="O4" i="1"/>
  <c r="M4" i="1"/>
  <c r="O3" i="1"/>
  <c r="M3" i="1"/>
  <c r="M33" i="1" l="1"/>
  <c r="N21" i="1"/>
  <c r="O21" i="1" s="1"/>
  <c r="N36" i="1"/>
  <c r="O36" i="1" s="1"/>
  <c r="N23" i="1"/>
  <c r="O23" i="1" s="1"/>
  <c r="N25" i="1"/>
  <c r="O25" i="1" s="1"/>
  <c r="M39" i="1"/>
  <c r="M30" i="1"/>
  <c r="N29" i="1"/>
  <c r="O29" i="1" s="1"/>
  <c r="M34" i="1"/>
  <c r="M37" i="1"/>
  <c r="N15" i="1"/>
  <c r="O15" i="1" s="1"/>
</calcChain>
</file>

<file path=xl/sharedStrings.xml><?xml version="1.0" encoding="utf-8"?>
<sst xmlns="http://schemas.openxmlformats.org/spreadsheetml/2006/main" count="335" uniqueCount="110">
  <si>
    <t>CLIENTE</t>
  </si>
  <si>
    <t>TIPO DE PAGO</t>
  </si>
  <si>
    <t xml:space="preserve">NUMERO DE POLIZA </t>
  </si>
  <si>
    <t>FECHA EFECTO</t>
  </si>
  <si>
    <t>PAGO HISCOX</t>
  </si>
  <si>
    <t>PRODUCTO</t>
  </si>
  <si>
    <t>PRIMA NETA</t>
  </si>
  <si>
    <t>PRIMA TOTAL</t>
  </si>
  <si>
    <t>PORCENTAJE</t>
  </si>
  <si>
    <t>NETO COMISION</t>
  </si>
  <si>
    <t>COMPROBACION PRIMA</t>
  </si>
  <si>
    <t>IMPORTE A LIQUIDAR HISCOX</t>
  </si>
  <si>
    <t>THT</t>
  </si>
  <si>
    <t>ANUAL</t>
  </si>
  <si>
    <t>HD IP6 2106648</t>
  </si>
  <si>
    <t>RC PROFESIONAL/PATRONAL</t>
  </si>
  <si>
    <t>COMUNISTONE</t>
  </si>
  <si>
    <t>HD IP6 2107204</t>
  </si>
  <si>
    <t>RC PROFESIONAL/PATRONAL/ D&amp;O</t>
  </si>
  <si>
    <t>DENTEC</t>
  </si>
  <si>
    <t>CIBERSEGURO</t>
  </si>
  <si>
    <t>REACCION CLOUD</t>
  </si>
  <si>
    <t>DATOS101</t>
  </si>
  <si>
    <t>HD IP6 3516942 (20)</t>
  </si>
  <si>
    <t>D&amp;O</t>
  </si>
  <si>
    <t>HD IP6 3511550</t>
  </si>
  <si>
    <t>ADJINN</t>
  </si>
  <si>
    <t>HD IP6 2108389</t>
  </si>
  <si>
    <t xml:space="preserve">VADCEFIROS </t>
  </si>
  <si>
    <t>HD IP6 3511254</t>
  </si>
  <si>
    <t>NORTH</t>
  </si>
  <si>
    <t>IMAGAR</t>
  </si>
  <si>
    <t>IOMARKETING</t>
  </si>
  <si>
    <t>FIDES ENERGIA</t>
  </si>
  <si>
    <t>HD IP6 3546401.</t>
  </si>
  <si>
    <t>BYTEMASTER</t>
  </si>
  <si>
    <t>HD IP6 2046759.</t>
  </si>
  <si>
    <t>FERNANDEZ BARONA ASESORES</t>
  </si>
  <si>
    <t>HD IP6 2046759</t>
  </si>
  <si>
    <t>CIBERSEGURO (Cobertura Suplantación)</t>
  </si>
  <si>
    <t>LAZARUS TECHNOLOGY</t>
  </si>
  <si>
    <t>HD IP6 3550560</t>
  </si>
  <si>
    <t>HD IP6 3551434</t>
  </si>
  <si>
    <t>Aitama SL (Hotel Alcazar Irún</t>
  </si>
  <si>
    <t>PISTA CERO</t>
  </si>
  <si>
    <t>CIBERSEGURO (COBERTURA PERDIDA BENF)</t>
  </si>
  <si>
    <t>DESARROLLO TECNOLÓGICO RURAL</t>
  </si>
  <si>
    <t xml:space="preserve"> HD IP6 3557514</t>
  </si>
  <si>
    <t>CREN PHARMA CONSULTING </t>
  </si>
  <si>
    <t>RETI ESPAÑA</t>
  </si>
  <si>
    <t>INTERBEL</t>
  </si>
  <si>
    <t>HD IP6 3560178</t>
  </si>
  <si>
    <t>ALEX ATARAMA</t>
  </si>
  <si>
    <t>BLOGS BUSINESS SL</t>
  </si>
  <si>
    <t>CALA LLAMP SL</t>
  </si>
  <si>
    <t>LEXSUITE CONSULTING S.L.</t>
  </si>
  <si>
    <r>
      <t>ABEJON</t>
    </r>
    <r>
      <rPr>
        <sz val="10"/>
        <color rgb="FF242424"/>
        <rFont val="Segoe UI"/>
        <family val="2"/>
      </rPr>
      <t xml:space="preserve"> SERVICIOS INFORMATICOS</t>
    </r>
  </si>
  <si>
    <t>Asozia Management SL</t>
  </si>
  <si>
    <t>Next Level Gaming SL</t>
  </si>
  <si>
    <t>FEDERACIO CATALANA DE VOLUNTARIAT</t>
  </si>
  <si>
    <t>VASILE PITAROIU</t>
  </si>
  <si>
    <t>QUICK CLICK SPAIN SL</t>
  </si>
  <si>
    <t>GAE COMUNIDADES SUR SL</t>
  </si>
  <si>
    <t>TECNICONS</t>
  </si>
  <si>
    <t>AGIUS GABINETE ADMINISTRATIVO INMOBILIARIO SL</t>
  </si>
  <si>
    <t>336.76</t>
  </si>
  <si>
    <t>INFLECTION POINT PARTNERS SL</t>
  </si>
  <si>
    <t>CYBERSCOPE SL</t>
  </si>
  <si>
    <t>TRACKINGPLAN EUROPE SL</t>
  </si>
  <si>
    <t>SERVICIOS Y SUMINISTROS AUXITEC SLU</t>
  </si>
  <si>
    <t>ILUSTRE COLEGIO ABOGADOS BADAJOZ</t>
  </si>
  <si>
    <t>WOLLY CORP SL</t>
  </si>
  <si>
    <t>GLOBALEQUIP SUR</t>
  </si>
  <si>
    <t>1454.98</t>
  </si>
  <si>
    <t>BCN TOWN GROUP</t>
  </si>
  <si>
    <t>MIGUEL CORTES ASTILLEROS</t>
  </si>
  <si>
    <t>WANTED ACTORES Y MODELOS</t>
  </si>
  <si>
    <t>ODR CUISINE SL</t>
  </si>
  <si>
    <t>SLA LEGAL PARTNERS SLP</t>
  </si>
  <si>
    <t>JAIME SOLAS LARA</t>
  </si>
  <si>
    <t>MIOLNIR CYBERSEC SL</t>
  </si>
  <si>
    <t>FUEGO Y CEMENTO SL</t>
  </si>
  <si>
    <t>SERVIGUIDE BPO SL</t>
  </si>
  <si>
    <t>PILLOW HOTELS SL</t>
  </si>
  <si>
    <t>EDOR-TEAM SOFT SL</t>
  </si>
  <si>
    <t>LAURA GADEA TORRES ESTEVEZ</t>
  </si>
  <si>
    <t>SINCRONET</t>
  </si>
  <si>
    <t>WAPPING NETWORKS SL</t>
  </si>
  <si>
    <t>RC PROFESIONAL/CIBERSEGURO</t>
  </si>
  <si>
    <t>PRODUCTOS Y MANGUERAS ESPECIALES SA</t>
  </si>
  <si>
    <t>ALEX ABEL ATARAMA MARTINEZ</t>
  </si>
  <si>
    <t>RC PROFESIONAL</t>
  </si>
  <si>
    <t>SITUACION</t>
  </si>
  <si>
    <t>ALTA</t>
  </si>
  <si>
    <t>BAJA</t>
  </si>
  <si>
    <t>COMPROBACION DATOS</t>
  </si>
  <si>
    <t>VCM VENTANAS SL</t>
  </si>
  <si>
    <t>MENSUAL</t>
  </si>
  <si>
    <t xml:space="preserve">BALANZA Y TOGA </t>
  </si>
  <si>
    <t>GLOBAL 360 GROUP</t>
  </si>
  <si>
    <t>EUROPEAN IBA CONSULTING</t>
  </si>
  <si>
    <t>SANTUARIO DE ZORITA</t>
  </si>
  <si>
    <t>BORISOVA TECHNOLOGY</t>
  </si>
  <si>
    <t xml:space="preserve">      3573472 </t>
  </si>
  <si>
    <t>INSTITUTO DE INNOVACION, CIENCIA Y EMPRESA</t>
  </si>
  <si>
    <t>35.68</t>
  </si>
  <si>
    <t>CENTRO DE SERV. COMPARTIDOS PARA EMPRENDEDORES</t>
  </si>
  <si>
    <t>SYNERGIAPRO</t>
  </si>
  <si>
    <t>RC + CIBER</t>
  </si>
  <si>
    <t>SANTUARIO DE ZORITA 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</si>
</sst>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Helvetica Neue"/>
      <family val="2"/>
    </font>
    <font>
      <sz val="9"/>
      <color theme="1"/>
      <name val="Helvetica Neue"/>
      <family val="2"/>
    </font>
    <font>
      <sz val="12"/>
      <color theme="1"/>
      <name val="Arial"/>
      <family val="2"/>
    </font>
    <font>
      <sz val="13"/>
      <color rgb="FF4A4F59"/>
      <name val="Helvetica Neue"/>
      <family val="2"/>
    </font>
    <font>
      <sz val="13"/>
      <color rgb="FF01666B"/>
      <name val="Helvetica Neue"/>
      <family val="2"/>
    </font>
    <font>
      <sz val="10"/>
      <color rgb="FF000000"/>
      <name val="Segoe UI"/>
      <family val="2"/>
    </font>
    <font>
      <sz val="10"/>
      <color rgb="FF242424"/>
      <name val="Segoe UI"/>
      <family val="2"/>
    </font>
    <font>
      <sz val="12"/>
      <color rgb="FFFF0000"/>
      <name val="Calibri"/>
      <family val="2"/>
    </font>
    <font>
      <sz val="13"/>
      <color rgb="FFFF0000"/>
      <name val="Helvetica Neue"/>
      <family val="2"/>
    </font>
    <font>
      <sz val="12"/>
      <name val="Aptos Narrow"/>
      <family val="2"/>
      <scheme val="minor"/>
    </font>
    <font>
      <sz val="12"/>
      <name val="Calibri"/>
      <family val="2"/>
    </font>
    <font>
      <sz val="13"/>
      <name val="Helvetica Neue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rgb="FFECECE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CECEC"/>
      </patternFill>
    </fill>
    <fill>
      <patternFill patternType="solid">
        <fgColor rgb="FFFFFF00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ECECEC"/>
      </patternFill>
    </fill>
    <fill>
      <patternFill patternType="solid">
        <fgColor theme="6" tint="0.39997558519241921"/>
        <bgColor rgb="FFECECEC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4">
    <xf numFmtId="0" fontId="0" fillId="0" borderId="0" xfId="0"/>
    <xf numFmtId="2" fontId="0" fillId="0" borderId="0" xfId="0" applyNumberFormat="1"/>
    <xf numFmtId="0" fontId="4" fillId="0" borderId="0" xfId="0" applyFont="1"/>
    <xf numFmtId="2" fontId="4" fillId="0" borderId="0" xfId="0" applyNumberFormat="1" applyFont="1"/>
    <xf numFmtId="0" fontId="5" fillId="2" borderId="0" xfId="0" applyFont="1" applyFill="1"/>
    <xf numFmtId="0" fontId="6" fillId="2" borderId="0" xfId="0" applyFont="1" applyFill="1"/>
    <xf numFmtId="164" fontId="5" fillId="2" borderId="0" xfId="0" applyNumberFormat="1" applyFont="1" applyFill="1"/>
    <xf numFmtId="9" fontId="5" fillId="2" borderId="0" xfId="0" applyNumberFormat="1" applyFont="1" applyFill="1"/>
    <xf numFmtId="2" fontId="5" fillId="2" borderId="0" xfId="0" applyNumberFormat="1" applyFont="1" applyFill="1"/>
    <xf numFmtId="0" fontId="0" fillId="3" borderId="0" xfId="0" applyFill="1"/>
    <xf numFmtId="0" fontId="5" fillId="4" borderId="0" xfId="0" applyFont="1" applyFill="1"/>
    <xf numFmtId="0" fontId="7" fillId="4" borderId="0" xfId="0" applyFont="1" applyFill="1"/>
    <xf numFmtId="164" fontId="5" fillId="4" borderId="0" xfId="0" applyNumberFormat="1" applyFont="1" applyFill="1"/>
    <xf numFmtId="9" fontId="5" fillId="4" borderId="0" xfId="0" applyNumberFormat="1" applyFont="1" applyFill="1"/>
    <xf numFmtId="2" fontId="5" fillId="4" borderId="0" xfId="0" applyNumberFormat="1" applyFont="1" applyFill="1"/>
    <xf numFmtId="0" fontId="6" fillId="4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9" fontId="5" fillId="3" borderId="0" xfId="0" applyNumberFormat="1" applyFont="1" applyFill="1"/>
    <xf numFmtId="2" fontId="5" fillId="3" borderId="0" xfId="0" applyNumberFormat="1" applyFont="1" applyFill="1"/>
    <xf numFmtId="0" fontId="6" fillId="3" borderId="0" xfId="0" applyFont="1" applyFill="1"/>
    <xf numFmtId="4" fontId="7" fillId="3" borderId="0" xfId="0" applyNumberFormat="1" applyFont="1" applyFill="1"/>
    <xf numFmtId="0" fontId="7" fillId="3" borderId="0" xfId="0" applyFont="1" applyFill="1"/>
    <xf numFmtId="4" fontId="5" fillId="3" borderId="0" xfId="0" applyNumberFormat="1" applyFont="1" applyFill="1"/>
    <xf numFmtId="0" fontId="5" fillId="3" borderId="0" xfId="0" applyFont="1" applyFill="1" applyAlignment="1">
      <alignment horizontal="left"/>
    </xf>
    <xf numFmtId="0" fontId="8" fillId="3" borderId="0" xfId="0" applyFont="1" applyFill="1"/>
    <xf numFmtId="0" fontId="3" fillId="3" borderId="0" xfId="1" applyFill="1"/>
    <xf numFmtId="0" fontId="5" fillId="0" borderId="0" xfId="0" applyFont="1"/>
    <xf numFmtId="164" fontId="1" fillId="0" borderId="0" xfId="0" applyNumberFormat="1" applyFont="1"/>
    <xf numFmtId="0" fontId="1" fillId="0" borderId="0" xfId="0" applyFont="1"/>
    <xf numFmtId="9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9" fontId="0" fillId="0" borderId="0" xfId="0" applyNumberFormat="1"/>
    <xf numFmtId="0" fontId="3" fillId="0" borderId="0" xfId="1"/>
    <xf numFmtId="0" fontId="9" fillId="0" borderId="0" xfId="0" applyFont="1"/>
    <xf numFmtId="14" fontId="0" fillId="0" borderId="0" xfId="0" applyNumberFormat="1"/>
    <xf numFmtId="0" fontId="10" fillId="3" borderId="0" xfId="0" applyFont="1" applyFill="1"/>
    <xf numFmtId="0" fontId="9" fillId="3" borderId="0" xfId="0" applyFont="1" applyFill="1"/>
    <xf numFmtId="14" fontId="0" fillId="3" borderId="0" xfId="0" applyNumberFormat="1" applyFill="1"/>
    <xf numFmtId="2" fontId="0" fillId="3" borderId="0" xfId="0" applyNumberFormat="1" applyFill="1"/>
    <xf numFmtId="0" fontId="11" fillId="5" borderId="0" xfId="0" applyFont="1" applyFill="1"/>
    <xf numFmtId="0" fontId="5" fillId="6" borderId="0" xfId="0" applyFont="1" applyFill="1"/>
    <xf numFmtId="0" fontId="12" fillId="5" borderId="0" xfId="0" applyFont="1" applyFill="1"/>
    <xf numFmtId="14" fontId="0" fillId="5" borderId="0" xfId="0" applyNumberFormat="1" applyFill="1"/>
    <xf numFmtId="0" fontId="0" fillId="5" borderId="0" xfId="0" applyFill="1"/>
    <xf numFmtId="0" fontId="5" fillId="7" borderId="0" xfId="0" applyFont="1" applyFill="1"/>
    <xf numFmtId="9" fontId="5" fillId="5" borderId="0" xfId="0" applyNumberFormat="1" applyFont="1" applyFill="1"/>
    <xf numFmtId="0" fontId="5" fillId="5" borderId="0" xfId="0" applyFont="1" applyFill="1"/>
    <xf numFmtId="2" fontId="0" fillId="5" borderId="0" xfId="0" applyNumberFormat="1" applyFill="1"/>
    <xf numFmtId="0" fontId="10" fillId="0" borderId="0" xfId="0" applyFont="1"/>
    <xf numFmtId="0" fontId="0" fillId="8" borderId="0" xfId="0" applyFill="1"/>
    <xf numFmtId="0" fontId="5" fillId="9" borderId="0" xfId="0" applyFont="1" applyFill="1"/>
    <xf numFmtId="0" fontId="9" fillId="8" borderId="0" xfId="0" applyFont="1" applyFill="1"/>
    <xf numFmtId="14" fontId="0" fillId="8" borderId="0" xfId="0" applyNumberFormat="1" applyFill="1"/>
    <xf numFmtId="0" fontId="5" fillId="8" borderId="0" xfId="0" applyFont="1" applyFill="1"/>
    <xf numFmtId="0" fontId="1" fillId="8" borderId="0" xfId="0" applyFont="1" applyFill="1"/>
    <xf numFmtId="9" fontId="0" fillId="8" borderId="0" xfId="0" applyNumberFormat="1" applyFill="1"/>
    <xf numFmtId="2" fontId="5" fillId="8" borderId="0" xfId="0" applyNumberFormat="1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1" fillId="0" borderId="0" xfId="0" applyNumberFormat="1" applyFont="1"/>
    <xf numFmtId="0" fontId="5" fillId="10" borderId="0" xfId="0" applyFont="1" applyFill="1"/>
    <xf numFmtId="0" fontId="5" fillId="11" borderId="0" xfId="0" applyFont="1" applyFill="1"/>
    <xf numFmtId="0" fontId="0" fillId="11" borderId="0" xfId="0" applyFill="1"/>
    <xf numFmtId="10" fontId="0" fillId="0" borderId="0" xfId="0" applyNumberFormat="1"/>
    <xf numFmtId="0" fontId="0" fillId="0" borderId="0" xfId="0" applyFont="1"/>
    <xf numFmtId="0" fontId="0" fillId="8" borderId="0" xfId="0" applyFont="1" applyFill="1"/>
    <xf numFmtId="0" fontId="2" fillId="0" borderId="0" xfId="0" applyFont="1"/>
    <xf numFmtId="0" fontId="13" fillId="9" borderId="0" xfId="0" applyFont="1" applyFill="1"/>
    <xf numFmtId="0" fontId="14" fillId="0" borderId="0" xfId="0" applyFont="1"/>
    <xf numFmtId="14" fontId="2" fillId="0" borderId="0" xfId="0" applyNumberFormat="1" applyFont="1"/>
    <xf numFmtId="0" fontId="13" fillId="8" borderId="0" xfId="0" applyFont="1" applyFill="1"/>
    <xf numFmtId="9" fontId="2" fillId="0" borderId="0" xfId="0" applyNumberFormat="1" applyFont="1"/>
    <xf numFmtId="0" fontId="2" fillId="0" borderId="0" xfId="0" applyFont="1" applyAlignment="1">
      <alignment horizontal="right"/>
    </xf>
    <xf numFmtId="0" fontId="15" fillId="0" borderId="0" xfId="0" applyFont="1"/>
    <xf numFmtId="0" fontId="16" fillId="9" borderId="0" xfId="0" applyFont="1" applyFill="1"/>
    <xf numFmtId="0" fontId="17" fillId="0" borderId="0" xfId="0" applyFont="1"/>
    <xf numFmtId="14" fontId="15" fillId="0" borderId="0" xfId="0" applyNumberFormat="1" applyFont="1"/>
    <xf numFmtId="0" fontId="16" fillId="8" borderId="0" xfId="0" applyFont="1" applyFill="1"/>
    <xf numFmtId="9" fontId="15" fillId="0" borderId="0" xfId="0" applyNumberFormat="1" applyFont="1"/>
    <xf numFmtId="0" fontId="15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rm.xeoris.com/web?debug=" TargetMode="External"/><Relationship Id="rId2" Type="http://schemas.openxmlformats.org/officeDocument/2006/relationships/hyperlink" Target="https://crm.xeoris.com/web" TargetMode="External"/><Relationship Id="rId1" Type="http://schemas.openxmlformats.org/officeDocument/2006/relationships/hyperlink" Target="https://crm.xeoris.com/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4A7F-2F6F-F741-85D8-BB7040F814FA}">
  <dimension ref="A1:V980"/>
  <sheetViews>
    <sheetView tabSelected="1" topLeftCell="A48" workbookViewId="0">
      <selection activeCell="A76" sqref="A76:XFD76"/>
    </sheetView>
  </sheetViews>
  <sheetFormatPr baseColWidth="10" defaultColWidth="11.1640625" defaultRowHeight="16" x14ac:dyDescent="0.2"/>
  <cols>
    <col min="1" max="1" width="36.1640625" customWidth="1"/>
    <col min="2" max="2" width="12.83203125" customWidth="1"/>
    <col min="3" max="3" width="14" customWidth="1"/>
    <col min="4" max="4" width="18.6640625" customWidth="1"/>
    <col min="5" max="6" width="13.1640625" customWidth="1"/>
    <col min="7" max="7" width="31" customWidth="1"/>
    <col min="8" max="8" width="7.1640625" bestFit="1" customWidth="1"/>
    <col min="9" max="9" width="11.6640625" customWidth="1"/>
    <col min="10" max="10" width="12.5" customWidth="1"/>
    <col min="11" max="11" width="17.1640625" customWidth="1"/>
    <col min="12" max="12" width="19.1640625" customWidth="1"/>
    <col min="13" max="13" width="24" style="1" customWidth="1"/>
    <col min="14" max="14" width="25.6640625" customWidth="1"/>
    <col min="15" max="15" width="27" customWidth="1"/>
    <col min="16" max="26" width="10.5" customWidth="1"/>
  </cols>
  <sheetData>
    <row r="1" spans="1:22" ht="15.75" customHeight="1" x14ac:dyDescent="0.2">
      <c r="A1" s="2" t="s">
        <v>0</v>
      </c>
      <c r="B1" s="2" t="s">
        <v>92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 t="s">
        <v>6</v>
      </c>
      <c r="J1" s="2" t="s">
        <v>7</v>
      </c>
      <c r="K1" s="2" t="s">
        <v>8</v>
      </c>
      <c r="L1" s="2" t="s">
        <v>9</v>
      </c>
      <c r="M1" s="3" t="s">
        <v>10</v>
      </c>
      <c r="N1" s="2" t="s">
        <v>11</v>
      </c>
      <c r="O1" s="2" t="s">
        <v>95</v>
      </c>
      <c r="P1" s="2"/>
      <c r="Q1" s="2"/>
      <c r="R1" s="2"/>
      <c r="S1" s="2"/>
      <c r="T1" s="2"/>
      <c r="U1" s="2"/>
      <c r="V1" s="2"/>
    </row>
    <row r="2" spans="1:22" ht="15.75" customHeight="1" x14ac:dyDescent="0.2"/>
    <row r="3" spans="1:22" s="9" customFormat="1" ht="15.75" customHeight="1" x14ac:dyDescent="0.2">
      <c r="A3" s="4" t="s">
        <v>12</v>
      </c>
      <c r="B3" s="4" t="s">
        <v>93</v>
      </c>
      <c r="C3" s="4" t="s">
        <v>13</v>
      </c>
      <c r="D3" s="5" t="s">
        <v>14</v>
      </c>
      <c r="E3" s="6">
        <v>44896</v>
      </c>
      <c r="F3" s="6">
        <v>44985</v>
      </c>
      <c r="G3" s="4" t="s">
        <v>15</v>
      </c>
      <c r="H3" s="4"/>
      <c r="I3" s="4">
        <v>990</v>
      </c>
      <c r="J3" s="4">
        <v>1070.7</v>
      </c>
      <c r="K3" s="7">
        <v>0.18</v>
      </c>
      <c r="L3" s="4">
        <v>178.2</v>
      </c>
      <c r="M3" s="8">
        <f>I3*K3-L3</f>
        <v>0</v>
      </c>
      <c r="N3" s="4">
        <v>892.5</v>
      </c>
      <c r="O3" s="4">
        <f>N3-(J3-L3)</f>
        <v>0</v>
      </c>
    </row>
    <row r="4" spans="1:22" s="9" customFormat="1" ht="15.75" customHeight="1" x14ac:dyDescent="0.2">
      <c r="A4" s="4" t="s">
        <v>16</v>
      </c>
      <c r="B4" s="4" t="s">
        <v>93</v>
      </c>
      <c r="C4" s="4" t="s">
        <v>13</v>
      </c>
      <c r="D4" s="5" t="s">
        <v>17</v>
      </c>
      <c r="E4" s="6">
        <v>44896</v>
      </c>
      <c r="F4" s="6">
        <v>44985</v>
      </c>
      <c r="G4" s="4" t="s">
        <v>18</v>
      </c>
      <c r="H4" s="4"/>
      <c r="I4" s="4">
        <v>2450.6999999999998</v>
      </c>
      <c r="J4" s="4">
        <v>2650.44</v>
      </c>
      <c r="K4" s="7">
        <v>0.2</v>
      </c>
      <c r="L4" s="4">
        <v>454.13</v>
      </c>
      <c r="M4" s="8">
        <f>I4*K4-L4</f>
        <v>36.009999999999991</v>
      </c>
      <c r="N4" s="4">
        <v>2196.31</v>
      </c>
      <c r="O4" s="4">
        <f>N4-(J4-L4)</f>
        <v>0</v>
      </c>
    </row>
    <row r="5" spans="1:22" s="9" customFormat="1" ht="15.75" customHeight="1" x14ac:dyDescent="0.2">
      <c r="A5" s="4" t="s">
        <v>19</v>
      </c>
      <c r="B5" s="4" t="s">
        <v>93</v>
      </c>
      <c r="C5" s="4" t="s">
        <v>13</v>
      </c>
      <c r="D5" s="5">
        <v>3543041</v>
      </c>
      <c r="E5" s="6">
        <v>44915</v>
      </c>
      <c r="F5" s="6">
        <v>44985</v>
      </c>
      <c r="G5" s="4" t="s">
        <v>20</v>
      </c>
      <c r="H5" s="4"/>
      <c r="I5" s="4">
        <v>395</v>
      </c>
      <c r="J5" s="4">
        <v>427.19</v>
      </c>
      <c r="K5" s="7">
        <v>0.25</v>
      </c>
      <c r="L5" s="4">
        <v>98.75</v>
      </c>
      <c r="M5" s="8">
        <f>I5*K5-L5</f>
        <v>0</v>
      </c>
      <c r="N5" s="4">
        <v>328.44</v>
      </c>
      <c r="O5" s="4">
        <f>N5-(J5-L5)</f>
        <v>0</v>
      </c>
    </row>
    <row r="6" spans="1:22" s="9" customFormat="1" ht="15.75" customHeight="1" x14ac:dyDescent="0.2">
      <c r="A6" s="4" t="s">
        <v>21</v>
      </c>
      <c r="B6" s="4" t="s">
        <v>93</v>
      </c>
      <c r="C6" s="4" t="s">
        <v>13</v>
      </c>
      <c r="D6" s="5">
        <v>3543881</v>
      </c>
      <c r="E6" s="6">
        <v>44896</v>
      </c>
      <c r="F6" s="6">
        <v>44985</v>
      </c>
      <c r="G6" s="4" t="s">
        <v>15</v>
      </c>
      <c r="H6" s="4"/>
      <c r="I6" s="4">
        <v>671.5</v>
      </c>
      <c r="J6" s="4">
        <v>726.23</v>
      </c>
      <c r="K6" s="7">
        <v>0.25</v>
      </c>
      <c r="L6" s="4">
        <v>167.88</v>
      </c>
      <c r="M6" s="8">
        <f>I6*K6-L6</f>
        <v>-4.9999999999954525E-3</v>
      </c>
      <c r="N6" s="4">
        <v>558.35</v>
      </c>
      <c r="O6" s="4">
        <f>N6-(J6-L6)</f>
        <v>0</v>
      </c>
    </row>
    <row r="7" spans="1:22" s="9" customFormat="1" ht="15.75" customHeight="1" x14ac:dyDescent="0.2">
      <c r="A7" s="10" t="s">
        <v>22</v>
      </c>
      <c r="B7" s="4" t="s">
        <v>93</v>
      </c>
      <c r="C7" s="4" t="s">
        <v>13</v>
      </c>
      <c r="D7" s="11" t="s">
        <v>23</v>
      </c>
      <c r="E7" s="12">
        <v>44593</v>
      </c>
      <c r="F7" s="12"/>
      <c r="G7" s="10" t="s">
        <v>24</v>
      </c>
      <c r="H7" s="10"/>
      <c r="I7" s="10">
        <v>607.75</v>
      </c>
      <c r="J7" s="10">
        <v>657.28</v>
      </c>
      <c r="K7" s="13">
        <v>0.2</v>
      </c>
      <c r="L7" s="10">
        <v>121.55</v>
      </c>
      <c r="M7" s="14">
        <f>I7*K7-L7</f>
        <v>0</v>
      </c>
      <c r="N7" s="10">
        <v>535.73</v>
      </c>
      <c r="O7" s="10">
        <f>N7-(J7-L7)</f>
        <v>0</v>
      </c>
      <c r="P7" s="10"/>
      <c r="Q7" s="10"/>
      <c r="R7" s="10"/>
      <c r="S7" s="10"/>
      <c r="T7" s="10"/>
      <c r="U7" s="10"/>
      <c r="V7" s="10"/>
    </row>
    <row r="8" spans="1:22" s="9" customFormat="1" ht="15.75" customHeight="1" x14ac:dyDescent="0.2">
      <c r="A8" s="10" t="s">
        <v>22</v>
      </c>
      <c r="B8" s="4" t="s">
        <v>93</v>
      </c>
      <c r="C8" s="4" t="s">
        <v>13</v>
      </c>
      <c r="D8" s="15" t="s">
        <v>25</v>
      </c>
      <c r="E8" s="12">
        <v>44979</v>
      </c>
      <c r="F8" s="12"/>
      <c r="G8" s="10" t="s">
        <v>20</v>
      </c>
      <c r="H8" s="10"/>
      <c r="I8" s="10">
        <v>676.5</v>
      </c>
      <c r="J8" s="10">
        <v>746.26</v>
      </c>
      <c r="K8" s="13">
        <v>0.25</v>
      </c>
      <c r="L8" s="10">
        <v>169.13</v>
      </c>
      <c r="M8" s="14">
        <f>I8*K8-L8</f>
        <v>-4.9999999999954525E-3</v>
      </c>
      <c r="N8" s="10">
        <v>577.13</v>
      </c>
      <c r="O8" s="10">
        <f>N8-(J8-L8)</f>
        <v>0</v>
      </c>
      <c r="P8" s="10"/>
      <c r="Q8" s="10"/>
      <c r="R8" s="10"/>
      <c r="S8" s="10"/>
      <c r="T8" s="10"/>
      <c r="U8" s="10"/>
      <c r="V8" s="10"/>
    </row>
    <row r="9" spans="1:22" s="9" customFormat="1" ht="15.75" customHeight="1" x14ac:dyDescent="0.2">
      <c r="A9" s="10" t="s">
        <v>26</v>
      </c>
      <c r="B9" s="4" t="s">
        <v>93</v>
      </c>
      <c r="C9" s="4" t="s">
        <v>13</v>
      </c>
      <c r="D9" s="15" t="s">
        <v>27</v>
      </c>
      <c r="E9" s="12">
        <v>44971</v>
      </c>
      <c r="F9" s="12"/>
      <c r="G9" s="10" t="s">
        <v>20</v>
      </c>
      <c r="H9" s="10"/>
      <c r="I9" s="10">
        <v>632.5</v>
      </c>
      <c r="J9" s="10">
        <v>684.05</v>
      </c>
      <c r="K9" s="13">
        <v>0.35</v>
      </c>
      <c r="L9" s="10">
        <v>221.38</v>
      </c>
      <c r="M9" s="14">
        <f>I9*K9-L9</f>
        <v>-4.9999999999954525E-3</v>
      </c>
      <c r="N9" s="11">
        <v>462.17</v>
      </c>
      <c r="O9" s="10">
        <f>N9-(J9-L9)</f>
        <v>-0.49999999999994316</v>
      </c>
      <c r="P9" s="10"/>
      <c r="Q9" s="10"/>
      <c r="R9" s="10"/>
      <c r="S9" s="10"/>
      <c r="T9" s="10"/>
      <c r="U9" s="10"/>
      <c r="V9" s="10"/>
    </row>
    <row r="10" spans="1:22" s="9" customFormat="1" ht="15.75" customHeight="1" x14ac:dyDescent="0.2">
      <c r="A10" s="16" t="s">
        <v>28</v>
      </c>
      <c r="B10" s="4" t="s">
        <v>93</v>
      </c>
      <c r="C10" s="4" t="s">
        <v>13</v>
      </c>
      <c r="D10" s="16">
        <v>3546938</v>
      </c>
      <c r="E10" s="17">
        <v>45001</v>
      </c>
      <c r="G10" s="16" t="s">
        <v>20</v>
      </c>
      <c r="I10" s="16">
        <v>454.25</v>
      </c>
      <c r="J10" s="16">
        <v>491.27</v>
      </c>
      <c r="K10" s="18">
        <v>0.35</v>
      </c>
      <c r="L10" s="16">
        <v>158.99</v>
      </c>
      <c r="M10" s="19">
        <f>I10*K10-L10</f>
        <v>-2.500000000026148E-3</v>
      </c>
      <c r="N10" s="16">
        <v>332.28</v>
      </c>
      <c r="O10" s="16">
        <f>N10-(J10-L10)</f>
        <v>0</v>
      </c>
    </row>
    <row r="11" spans="1:22" s="9" customFormat="1" ht="15.75" customHeight="1" x14ac:dyDescent="0.2">
      <c r="A11" s="16" t="s">
        <v>22</v>
      </c>
      <c r="B11" s="4" t="s">
        <v>93</v>
      </c>
      <c r="C11" s="4" t="s">
        <v>13</v>
      </c>
      <c r="D11" s="20" t="s">
        <v>29</v>
      </c>
      <c r="E11" s="17">
        <v>45017</v>
      </c>
      <c r="G11" s="16" t="s">
        <v>15</v>
      </c>
      <c r="I11" s="16">
        <v>2117</v>
      </c>
      <c r="J11" s="21">
        <v>2335.33</v>
      </c>
      <c r="K11" s="18">
        <v>0.2</v>
      </c>
      <c r="L11" s="22">
        <v>423.4</v>
      </c>
      <c r="M11" s="19">
        <f>I11*K11-L11</f>
        <v>0</v>
      </c>
      <c r="N11" s="21">
        <v>1911.93</v>
      </c>
      <c r="O11" s="23">
        <f>N11-(J11-L11)</f>
        <v>0</v>
      </c>
    </row>
    <row r="12" spans="1:22" s="9" customFormat="1" ht="15.75" customHeight="1" x14ac:dyDescent="0.2">
      <c r="A12" s="16" t="s">
        <v>30</v>
      </c>
      <c r="B12" s="4" t="s">
        <v>93</v>
      </c>
      <c r="C12" s="4" t="s">
        <v>13</v>
      </c>
      <c r="D12" s="16">
        <v>3548248</v>
      </c>
      <c r="E12" s="17">
        <v>45029</v>
      </c>
      <c r="G12" s="16" t="s">
        <v>20</v>
      </c>
      <c r="I12" s="16">
        <v>793.5</v>
      </c>
      <c r="J12" s="16">
        <v>858.17</v>
      </c>
      <c r="K12" s="18">
        <v>0.35</v>
      </c>
      <c r="L12" s="16">
        <v>277.73</v>
      </c>
      <c r="M12" s="19">
        <f>I12*K12-L12</f>
        <v>-5.0000000000522959E-3</v>
      </c>
      <c r="N12" s="16">
        <v>580.44000000000005</v>
      </c>
      <c r="O12" s="16">
        <f>N12-(J12-L12)</f>
        <v>0</v>
      </c>
    </row>
    <row r="13" spans="1:22" s="9" customFormat="1" ht="15.75" customHeight="1" x14ac:dyDescent="0.2">
      <c r="A13" s="16" t="s">
        <v>31</v>
      </c>
      <c r="B13" s="4" t="s">
        <v>93</v>
      </c>
      <c r="C13" s="4" t="s">
        <v>13</v>
      </c>
      <c r="E13" s="17">
        <v>45017</v>
      </c>
      <c r="G13" s="16" t="s">
        <v>20</v>
      </c>
      <c r="I13" s="16">
        <v>1859.55</v>
      </c>
      <c r="J13" s="16">
        <v>2011.1</v>
      </c>
      <c r="K13" s="18">
        <v>0.35</v>
      </c>
      <c r="L13" s="16">
        <v>650.84</v>
      </c>
      <c r="M13" s="19">
        <f>I13*K13-L13</f>
        <v>2.4999999999408828E-3</v>
      </c>
      <c r="N13" s="16">
        <v>1360.26</v>
      </c>
      <c r="O13" s="16">
        <f>N13-(J13-L13)</f>
        <v>0</v>
      </c>
    </row>
    <row r="14" spans="1:22" s="9" customFormat="1" ht="15.75" customHeight="1" x14ac:dyDescent="0.2">
      <c r="A14" s="16" t="s">
        <v>31</v>
      </c>
      <c r="B14" s="4" t="s">
        <v>93</v>
      </c>
      <c r="C14" s="4" t="s">
        <v>13</v>
      </c>
      <c r="E14" s="17">
        <v>45017</v>
      </c>
      <c r="G14" s="16" t="s">
        <v>15</v>
      </c>
      <c r="I14" s="16">
        <v>5000</v>
      </c>
      <c r="J14" s="16">
        <v>5407.5</v>
      </c>
      <c r="K14" s="18">
        <v>0.25</v>
      </c>
      <c r="L14" s="16">
        <v>1250</v>
      </c>
      <c r="M14" s="19">
        <f>I14*K14-L14</f>
        <v>0</v>
      </c>
      <c r="N14" s="16">
        <v>4157.5</v>
      </c>
      <c r="O14" s="16">
        <f>N14-(J14-L14)</f>
        <v>0</v>
      </c>
    </row>
    <row r="15" spans="1:22" s="9" customFormat="1" ht="15.75" customHeight="1" x14ac:dyDescent="0.2">
      <c r="A15" s="16" t="s">
        <v>32</v>
      </c>
      <c r="B15" s="16" t="s">
        <v>94</v>
      </c>
      <c r="C15" s="4" t="s">
        <v>13</v>
      </c>
      <c r="D15" s="16">
        <v>3548829</v>
      </c>
      <c r="E15" s="17">
        <v>45042</v>
      </c>
      <c r="G15" s="16" t="s">
        <v>20</v>
      </c>
      <c r="I15" s="16">
        <v>454.25</v>
      </c>
      <c r="J15" s="16">
        <v>491.27</v>
      </c>
      <c r="K15" s="18">
        <v>0.35</v>
      </c>
      <c r="L15" s="19">
        <f>I15*K15</f>
        <v>158.98749999999998</v>
      </c>
      <c r="M15" s="19">
        <f>I15*K15-L15</f>
        <v>0</v>
      </c>
      <c r="N15" s="19">
        <f>J15-L15</f>
        <v>332.28250000000003</v>
      </c>
      <c r="O15" s="19">
        <f>N15-(J15-L15)</f>
        <v>0</v>
      </c>
    </row>
    <row r="16" spans="1:22" s="9" customFormat="1" ht="15.75" customHeight="1" x14ac:dyDescent="0.2">
      <c r="A16" s="16" t="s">
        <v>33</v>
      </c>
      <c r="B16" s="16" t="s">
        <v>93</v>
      </c>
      <c r="C16" s="4" t="s">
        <v>13</v>
      </c>
      <c r="D16" s="20" t="s">
        <v>34</v>
      </c>
      <c r="E16" s="17">
        <v>45044</v>
      </c>
      <c r="G16" s="16" t="s">
        <v>15</v>
      </c>
      <c r="I16" s="16">
        <v>2851.2</v>
      </c>
      <c r="J16" s="16">
        <v>3083.57</v>
      </c>
      <c r="K16" s="18">
        <v>0.25</v>
      </c>
      <c r="L16" s="16">
        <v>712.8</v>
      </c>
      <c r="M16" s="19">
        <f>I16*K16-L16</f>
        <v>0</v>
      </c>
      <c r="N16" s="16">
        <v>2370.77</v>
      </c>
      <c r="O16" s="16">
        <f>N16-(J16-L16)</f>
        <v>0</v>
      </c>
    </row>
    <row r="17" spans="1:15" s="9" customFormat="1" ht="15.75" customHeight="1" x14ac:dyDescent="0.2">
      <c r="A17" s="16" t="s">
        <v>35</v>
      </c>
      <c r="B17" s="16" t="s">
        <v>93</v>
      </c>
      <c r="C17" s="4" t="s">
        <v>13</v>
      </c>
      <c r="D17" s="20" t="s">
        <v>36</v>
      </c>
      <c r="E17" s="17">
        <v>45041</v>
      </c>
      <c r="G17" s="16" t="s">
        <v>20</v>
      </c>
      <c r="I17" s="16">
        <v>3153</v>
      </c>
      <c r="J17" s="16">
        <v>3409.57</v>
      </c>
      <c r="K17" s="18">
        <v>0.35</v>
      </c>
      <c r="L17" s="16">
        <v>1103.55</v>
      </c>
      <c r="M17" s="19">
        <f>I17*K17-L17</f>
        <v>0</v>
      </c>
      <c r="N17" s="16">
        <v>2306.42</v>
      </c>
      <c r="O17" s="16">
        <f>N17-(J17-L17)</f>
        <v>0.3999999999996362</v>
      </c>
    </row>
    <row r="18" spans="1:15" s="9" customFormat="1" x14ac:dyDescent="0.2">
      <c r="A18" s="24" t="s">
        <v>37</v>
      </c>
      <c r="B18" s="16" t="s">
        <v>93</v>
      </c>
      <c r="C18" s="4" t="s">
        <v>13</v>
      </c>
      <c r="D18" s="16">
        <v>3549545</v>
      </c>
      <c r="E18" s="17">
        <v>45057</v>
      </c>
      <c r="G18" s="16" t="s">
        <v>20</v>
      </c>
      <c r="I18" s="16">
        <v>402.5</v>
      </c>
      <c r="J18" s="16">
        <v>435.3</v>
      </c>
      <c r="K18" s="18">
        <v>0.35</v>
      </c>
      <c r="L18" s="16">
        <v>140.88</v>
      </c>
      <c r="M18" s="19">
        <f>I18*K18-L18</f>
        <v>-4.9999999999954525E-3</v>
      </c>
      <c r="N18" s="16">
        <v>294.42</v>
      </c>
      <c r="O18" s="16">
        <f>N18-(J18-L18)</f>
        <v>0</v>
      </c>
    </row>
    <row r="19" spans="1:15" s="9" customFormat="1" ht="15.75" customHeight="1" x14ac:dyDescent="0.2">
      <c r="A19" s="16" t="s">
        <v>35</v>
      </c>
      <c r="B19" s="16" t="s">
        <v>93</v>
      </c>
      <c r="C19" s="4" t="s">
        <v>13</v>
      </c>
      <c r="D19" s="20" t="s">
        <v>38</v>
      </c>
      <c r="E19" s="17">
        <v>45098</v>
      </c>
      <c r="G19" s="16" t="s">
        <v>39</v>
      </c>
      <c r="I19" s="16">
        <v>120</v>
      </c>
      <c r="J19" s="16">
        <v>129.78</v>
      </c>
      <c r="K19" s="18">
        <v>0.35</v>
      </c>
      <c r="L19" s="16">
        <v>42</v>
      </c>
      <c r="M19" s="19">
        <f>I19*K19-L19</f>
        <v>0</v>
      </c>
      <c r="N19" s="16">
        <v>87.78</v>
      </c>
      <c r="O19" s="16">
        <f>N19-(J19-L19)</f>
        <v>0</v>
      </c>
    </row>
    <row r="20" spans="1:15" s="9" customFormat="1" ht="15.75" customHeight="1" x14ac:dyDescent="0.2">
      <c r="A20" s="16" t="s">
        <v>40</v>
      </c>
      <c r="B20" s="16" t="s">
        <v>93</v>
      </c>
      <c r="C20" s="4" t="s">
        <v>13</v>
      </c>
      <c r="D20" s="20" t="s">
        <v>41</v>
      </c>
      <c r="E20" s="17">
        <v>45126</v>
      </c>
      <c r="G20" s="16" t="s">
        <v>20</v>
      </c>
      <c r="I20" s="16">
        <v>3891.6</v>
      </c>
      <c r="J20" s="16">
        <v>4208.7700000000004</v>
      </c>
      <c r="K20" s="18">
        <v>0.35</v>
      </c>
      <c r="L20" s="16">
        <v>1362.06</v>
      </c>
      <c r="M20" s="19">
        <f>I20*K20-L20</f>
        <v>0</v>
      </c>
      <c r="N20" s="16">
        <v>2846.71</v>
      </c>
      <c r="O20" s="16">
        <f>N20-(J20-L20)</f>
        <v>0</v>
      </c>
    </row>
    <row r="21" spans="1:15" s="9" customFormat="1" ht="15.75" customHeight="1" x14ac:dyDescent="0.2">
      <c r="A21" s="16" t="s">
        <v>16</v>
      </c>
      <c r="B21" s="16" t="s">
        <v>93</v>
      </c>
      <c r="C21" s="4" t="s">
        <v>13</v>
      </c>
      <c r="D21" s="25" t="s">
        <v>42</v>
      </c>
      <c r="E21" s="17">
        <v>45199</v>
      </c>
      <c r="G21" s="16" t="s">
        <v>20</v>
      </c>
      <c r="I21" s="16">
        <v>926.1</v>
      </c>
      <c r="J21" s="16">
        <f>I21+75.48</f>
        <v>1001.58</v>
      </c>
      <c r="K21" s="18">
        <v>0.35</v>
      </c>
      <c r="L21" s="16">
        <f>I21*K21</f>
        <v>324.13499999999999</v>
      </c>
      <c r="M21" s="19"/>
      <c r="N21" s="16">
        <f>J21-L21</f>
        <v>677.44500000000005</v>
      </c>
      <c r="O21" s="16">
        <f>N21-(J21-L21)</f>
        <v>0</v>
      </c>
    </row>
    <row r="22" spans="1:15" s="9" customFormat="1" ht="15.75" customHeight="1" x14ac:dyDescent="0.2">
      <c r="A22" s="26" t="s">
        <v>43</v>
      </c>
      <c r="B22" s="26" t="s">
        <v>94</v>
      </c>
      <c r="C22" s="4" t="s">
        <v>13</v>
      </c>
      <c r="D22" s="25">
        <v>3555343</v>
      </c>
      <c r="E22" s="17">
        <v>45208</v>
      </c>
      <c r="G22" s="16" t="s">
        <v>20</v>
      </c>
      <c r="I22" s="16">
        <v>837.66</v>
      </c>
      <c r="J22" s="16">
        <v>905.93</v>
      </c>
      <c r="K22" s="18">
        <v>0.35</v>
      </c>
      <c r="L22" s="16">
        <f>I22*35%</f>
        <v>293.18099999999998</v>
      </c>
      <c r="M22" s="19"/>
      <c r="N22" s="16">
        <f>J22-L22</f>
        <v>612.74900000000002</v>
      </c>
      <c r="O22" s="16">
        <f>N22-(J22-L22)</f>
        <v>0</v>
      </c>
    </row>
    <row r="23" spans="1:15" ht="15.75" customHeight="1" x14ac:dyDescent="0.2">
      <c r="A23" s="27" t="s">
        <v>44</v>
      </c>
      <c r="B23" s="27" t="s">
        <v>94</v>
      </c>
      <c r="C23" s="4" t="s">
        <v>13</v>
      </c>
      <c r="E23" s="28">
        <v>45247</v>
      </c>
      <c r="G23" s="27" t="s">
        <v>45</v>
      </c>
      <c r="I23" s="29">
        <v>4815</v>
      </c>
      <c r="J23" s="29">
        <v>5207.42</v>
      </c>
      <c r="K23" s="30">
        <v>0.35</v>
      </c>
      <c r="L23">
        <f>I23*K23</f>
        <v>1685.25</v>
      </c>
      <c r="M23" s="31">
        <f>I23*K23-L23</f>
        <v>0</v>
      </c>
      <c r="N23" s="27">
        <f>J23-L23</f>
        <v>3522.17</v>
      </c>
      <c r="O23" s="27">
        <f>N23-(J23-L23)</f>
        <v>0</v>
      </c>
    </row>
    <row r="24" spans="1:15" ht="15.75" customHeight="1" x14ac:dyDescent="0.2">
      <c r="A24" s="29" t="s">
        <v>46</v>
      </c>
      <c r="B24" s="16" t="s">
        <v>93</v>
      </c>
      <c r="C24" s="4" t="s">
        <v>13</v>
      </c>
      <c r="D24" s="32" t="s">
        <v>47</v>
      </c>
      <c r="E24" s="28">
        <v>45260</v>
      </c>
      <c r="G24" s="27" t="s">
        <v>15</v>
      </c>
      <c r="I24" s="29">
        <v>270</v>
      </c>
      <c r="J24" s="29">
        <v>292.01</v>
      </c>
      <c r="K24" s="33">
        <v>0.25</v>
      </c>
      <c r="L24" s="29">
        <v>67.5</v>
      </c>
      <c r="M24" s="31">
        <f>I24*K24-L24</f>
        <v>0</v>
      </c>
      <c r="N24" s="29">
        <v>224.51</v>
      </c>
      <c r="O24" s="27">
        <f>N24-(J24-L24)</f>
        <v>0</v>
      </c>
    </row>
    <row r="25" spans="1:15" ht="15.75" customHeight="1" x14ac:dyDescent="0.2">
      <c r="A25" s="29" t="s">
        <v>46</v>
      </c>
      <c r="B25" s="16" t="s">
        <v>94</v>
      </c>
      <c r="C25" s="4" t="s">
        <v>13</v>
      </c>
      <c r="D25" s="29">
        <v>3557769</v>
      </c>
      <c r="E25" s="28">
        <v>45260</v>
      </c>
      <c r="G25" s="27" t="s">
        <v>20</v>
      </c>
      <c r="I25" s="29">
        <v>215.77</v>
      </c>
      <c r="J25" s="29">
        <v>233.35</v>
      </c>
      <c r="K25" s="30">
        <v>0.35</v>
      </c>
      <c r="L25">
        <f>I25*K25</f>
        <v>75.519499999999994</v>
      </c>
      <c r="M25" s="31">
        <f>I25*K25-L25</f>
        <v>0</v>
      </c>
      <c r="N25">
        <f>J25-L25</f>
        <v>157.8305</v>
      </c>
      <c r="O25" s="27">
        <f>N25-(J25-L25)</f>
        <v>0</v>
      </c>
    </row>
    <row r="26" spans="1:15" ht="15" customHeight="1" x14ac:dyDescent="0.2">
      <c r="A26" s="34" t="s">
        <v>48</v>
      </c>
      <c r="B26" s="34" t="s">
        <v>93</v>
      </c>
      <c r="C26" s="4" t="s">
        <v>13</v>
      </c>
      <c r="D26" s="35">
        <v>3558983</v>
      </c>
      <c r="E26" s="36">
        <v>45282</v>
      </c>
      <c r="G26" s="27" t="s">
        <v>20</v>
      </c>
      <c r="I26" s="29">
        <v>215.76</v>
      </c>
      <c r="J26" s="29">
        <v>233.34</v>
      </c>
      <c r="K26" s="33">
        <v>0.35</v>
      </c>
      <c r="L26">
        <f>I26*K26</f>
        <v>75.515999999999991</v>
      </c>
      <c r="N26">
        <f>J26-L26</f>
        <v>157.82400000000001</v>
      </c>
      <c r="O26" s="27">
        <f>N26-(J26-L26)</f>
        <v>0</v>
      </c>
    </row>
    <row r="27" spans="1:15" ht="15" customHeight="1" x14ac:dyDescent="0.2">
      <c r="A27" s="29" t="s">
        <v>49</v>
      </c>
      <c r="B27" s="29" t="s">
        <v>94</v>
      </c>
      <c r="C27" s="4" t="s">
        <v>13</v>
      </c>
      <c r="D27" s="35">
        <v>3561978</v>
      </c>
      <c r="E27" s="36">
        <v>45342</v>
      </c>
      <c r="G27" s="27" t="s">
        <v>20</v>
      </c>
      <c r="I27" s="29">
        <v>984.2</v>
      </c>
      <c r="J27" s="29">
        <v>1064.42</v>
      </c>
      <c r="K27" s="33">
        <v>0.35</v>
      </c>
      <c r="L27">
        <f>I27*K27</f>
        <v>344.46999999999997</v>
      </c>
      <c r="N27">
        <f>J27-L27</f>
        <v>719.95</v>
      </c>
    </row>
    <row r="28" spans="1:15" ht="15" customHeight="1" x14ac:dyDescent="0.2">
      <c r="A28" s="29" t="s">
        <v>50</v>
      </c>
      <c r="B28" s="29" t="s">
        <v>93</v>
      </c>
      <c r="C28" s="4" t="s">
        <v>13</v>
      </c>
      <c r="D28" s="29" t="s">
        <v>51</v>
      </c>
      <c r="E28" s="36">
        <v>45327</v>
      </c>
      <c r="G28" s="27" t="s">
        <v>15</v>
      </c>
      <c r="I28" s="29">
        <v>1068.0999999999999</v>
      </c>
      <c r="J28" s="29">
        <v>1155.1500000000001</v>
      </c>
      <c r="K28" s="33">
        <v>0.25</v>
      </c>
      <c r="L28">
        <f>I28*K28</f>
        <v>267.02499999999998</v>
      </c>
      <c r="N28">
        <f>J28-L28</f>
        <v>888.12500000000011</v>
      </c>
    </row>
    <row r="29" spans="1:15" ht="15.75" customHeight="1" x14ac:dyDescent="0.2">
      <c r="A29" s="29" t="s">
        <v>52</v>
      </c>
      <c r="B29" s="29" t="s">
        <v>93</v>
      </c>
      <c r="C29" s="4" t="s">
        <v>13</v>
      </c>
      <c r="D29" s="35">
        <v>3562605</v>
      </c>
      <c r="E29" s="36">
        <v>45350</v>
      </c>
      <c r="G29" s="27" t="s">
        <v>20</v>
      </c>
      <c r="I29" s="29">
        <v>215.76</v>
      </c>
      <c r="J29" s="29">
        <v>233.34</v>
      </c>
      <c r="K29" s="33">
        <v>0.35</v>
      </c>
      <c r="L29">
        <f>I29*K29</f>
        <v>75.515999999999991</v>
      </c>
      <c r="M29" s="31">
        <f>I29*K29-L29</f>
        <v>0</v>
      </c>
      <c r="N29">
        <f>J29-L29</f>
        <v>157.82400000000001</v>
      </c>
      <c r="O29" s="27">
        <f>N29-(J29-L29)</f>
        <v>0</v>
      </c>
    </row>
    <row r="30" spans="1:15" ht="15.75" customHeight="1" x14ac:dyDescent="0.2">
      <c r="A30" s="34" t="s">
        <v>54</v>
      </c>
      <c r="B30" s="29" t="s">
        <v>93</v>
      </c>
      <c r="C30" s="4" t="s">
        <v>13</v>
      </c>
      <c r="D30" s="35">
        <v>3563905</v>
      </c>
      <c r="E30" s="36">
        <v>45370</v>
      </c>
      <c r="G30" s="27" t="s">
        <v>20</v>
      </c>
      <c r="I30" s="29">
        <v>941.51</v>
      </c>
      <c r="J30" s="29">
        <v>1018.25</v>
      </c>
      <c r="K30" s="33">
        <v>0.35</v>
      </c>
      <c r="L30">
        <f>I30*K30</f>
        <v>329.52849999999995</v>
      </c>
      <c r="M30" s="31">
        <f>I30*K30-L30</f>
        <v>0</v>
      </c>
      <c r="N30">
        <f>J30-L30</f>
        <v>688.72150000000011</v>
      </c>
      <c r="O30" s="27">
        <f>N30-(J30-L30)</f>
        <v>0</v>
      </c>
    </row>
    <row r="31" spans="1:15" ht="17" x14ac:dyDescent="0.2">
      <c r="A31" s="37" t="s">
        <v>55</v>
      </c>
      <c r="B31" s="29" t="s">
        <v>93</v>
      </c>
      <c r="C31" s="4" t="s">
        <v>13</v>
      </c>
      <c r="D31" s="38">
        <v>3564015</v>
      </c>
      <c r="E31" s="39">
        <v>45371</v>
      </c>
      <c r="F31" s="9"/>
      <c r="G31" s="10" t="s">
        <v>20</v>
      </c>
      <c r="H31" s="9"/>
      <c r="I31" s="10">
        <v>449.99</v>
      </c>
      <c r="J31" s="10">
        <v>486.67</v>
      </c>
      <c r="K31" s="18">
        <v>0.35</v>
      </c>
      <c r="L31" s="16">
        <f>I31*K31</f>
        <v>157.4965</v>
      </c>
      <c r="M31" s="40"/>
      <c r="N31" s="16">
        <f>J31-L31</f>
        <v>329.17349999999999</v>
      </c>
      <c r="O31" s="9"/>
    </row>
    <row r="32" spans="1:15" s="45" customFormat="1" x14ac:dyDescent="0.2">
      <c r="A32" s="41" t="s">
        <v>56</v>
      </c>
      <c r="B32" s="29" t="s">
        <v>93</v>
      </c>
      <c r="C32" s="42" t="s">
        <v>13</v>
      </c>
      <c r="D32" s="43">
        <v>3563706</v>
      </c>
      <c r="E32" s="44">
        <v>45373</v>
      </c>
      <c r="G32" s="46" t="s">
        <v>20</v>
      </c>
      <c r="I32" s="46">
        <v>621</v>
      </c>
      <c r="J32" s="46">
        <v>671.61</v>
      </c>
      <c r="K32" s="47">
        <v>0.35</v>
      </c>
      <c r="L32" s="48">
        <v>217.35</v>
      </c>
      <c r="M32" s="49"/>
      <c r="N32" s="48"/>
    </row>
    <row r="33" spans="1:15" ht="15.75" customHeight="1" x14ac:dyDescent="0.2">
      <c r="A33" s="50" t="s">
        <v>57</v>
      </c>
      <c r="B33" s="29" t="s">
        <v>93</v>
      </c>
      <c r="C33" s="4" t="s">
        <v>13</v>
      </c>
      <c r="D33" s="35">
        <v>3564596</v>
      </c>
      <c r="E33" s="36">
        <v>45384</v>
      </c>
      <c r="G33" s="27" t="s">
        <v>20</v>
      </c>
      <c r="I33" s="29">
        <v>941.51</v>
      </c>
      <c r="J33" s="29">
        <v>1018.25</v>
      </c>
      <c r="K33" s="33">
        <v>0.35</v>
      </c>
      <c r="L33">
        <f>I33*K33</f>
        <v>329.52849999999995</v>
      </c>
      <c r="M33" s="31">
        <f>I33*K33-L33</f>
        <v>0</v>
      </c>
      <c r="N33">
        <f>J33-L33</f>
        <v>688.72150000000011</v>
      </c>
      <c r="O33" s="27">
        <f>N33-(J33-L33)</f>
        <v>0</v>
      </c>
    </row>
    <row r="34" spans="1:15" ht="15.75" customHeight="1" x14ac:dyDescent="0.2">
      <c r="A34" t="s">
        <v>58</v>
      </c>
      <c r="B34" s="29" t="s">
        <v>93</v>
      </c>
      <c r="C34" s="4" t="s">
        <v>13</v>
      </c>
      <c r="D34" s="35">
        <v>3565157</v>
      </c>
      <c r="E34" s="36">
        <v>45392</v>
      </c>
      <c r="G34" s="27" t="s">
        <v>20</v>
      </c>
      <c r="I34" s="29">
        <v>346.14</v>
      </c>
      <c r="J34" s="29">
        <v>374.35</v>
      </c>
      <c r="K34" s="33">
        <v>0.35</v>
      </c>
      <c r="L34">
        <f>I34*K34</f>
        <v>121.14899999999999</v>
      </c>
      <c r="M34" s="31">
        <f>I34*K34-L34</f>
        <v>0</v>
      </c>
      <c r="N34">
        <f>J34-L34</f>
        <v>253.20100000000002</v>
      </c>
      <c r="O34" s="27">
        <f>N34-(J34-L34)</f>
        <v>0</v>
      </c>
    </row>
    <row r="35" spans="1:15" ht="15.75" customHeight="1" x14ac:dyDescent="0.2">
      <c r="A35" t="s">
        <v>59</v>
      </c>
      <c r="B35" s="29" t="s">
        <v>93</v>
      </c>
      <c r="C35" s="4" t="s">
        <v>13</v>
      </c>
      <c r="D35" s="35">
        <v>3565297</v>
      </c>
      <c r="E35" s="36">
        <v>45397</v>
      </c>
      <c r="G35" s="27" t="s">
        <v>20</v>
      </c>
      <c r="I35" s="29">
        <v>410.75</v>
      </c>
      <c r="J35" s="29">
        <v>444.23</v>
      </c>
      <c r="K35" s="33">
        <v>0.35</v>
      </c>
      <c r="L35">
        <v>143.76</v>
      </c>
      <c r="M35" s="31"/>
      <c r="N35" s="27">
        <v>300.47000000000003</v>
      </c>
      <c r="O35" s="27"/>
    </row>
    <row r="36" spans="1:15" ht="15.75" customHeight="1" x14ac:dyDescent="0.2">
      <c r="A36" t="s">
        <v>60</v>
      </c>
      <c r="B36" s="66" t="s">
        <v>94</v>
      </c>
      <c r="C36" s="4" t="s">
        <v>13</v>
      </c>
      <c r="D36" s="35">
        <v>3567839</v>
      </c>
      <c r="E36" s="36">
        <v>45436</v>
      </c>
      <c r="G36" s="27" t="s">
        <v>15</v>
      </c>
      <c r="I36" s="29">
        <v>307.64999999999998</v>
      </c>
      <c r="J36" s="29">
        <v>332.72</v>
      </c>
      <c r="K36" s="33">
        <v>0.25</v>
      </c>
      <c r="L36">
        <f>I36*K36</f>
        <v>76.912499999999994</v>
      </c>
      <c r="M36" s="31">
        <f>I36*K36-L36</f>
        <v>0</v>
      </c>
      <c r="N36">
        <f>J36-L36</f>
        <v>255.80750000000003</v>
      </c>
      <c r="O36" s="27">
        <f>N36-(J36-L36)</f>
        <v>0</v>
      </c>
    </row>
    <row r="37" spans="1:15" ht="15.75" customHeight="1" x14ac:dyDescent="0.2">
      <c r="A37" t="s">
        <v>61</v>
      </c>
      <c r="B37" t="s">
        <v>93</v>
      </c>
      <c r="C37" s="4" t="s">
        <v>13</v>
      </c>
      <c r="D37" s="35">
        <v>3565533</v>
      </c>
      <c r="E37" s="36">
        <v>45446</v>
      </c>
      <c r="G37" s="27" t="s">
        <v>20</v>
      </c>
      <c r="I37" s="29">
        <v>735</v>
      </c>
      <c r="J37" s="29">
        <v>794.91</v>
      </c>
      <c r="K37" s="33">
        <v>0.35</v>
      </c>
      <c r="L37">
        <f>I37*K37</f>
        <v>257.25</v>
      </c>
      <c r="M37" s="31">
        <f>I37*K37-L37</f>
        <v>0</v>
      </c>
      <c r="N37">
        <f>J37-L37</f>
        <v>537.66</v>
      </c>
      <c r="O37" s="27">
        <f>N37-(J37-L37)</f>
        <v>0</v>
      </c>
    </row>
    <row r="38" spans="1:15" s="51" customFormat="1" ht="15.75" customHeight="1" x14ac:dyDescent="0.2">
      <c r="A38" s="51" t="s">
        <v>62</v>
      </c>
      <c r="B38" s="51" t="s">
        <v>93</v>
      </c>
      <c r="C38" s="52" t="s">
        <v>13</v>
      </c>
      <c r="D38" s="53">
        <v>3571041</v>
      </c>
      <c r="E38" s="54">
        <v>45483</v>
      </c>
      <c r="G38" s="55" t="s">
        <v>20</v>
      </c>
      <c r="I38" s="56">
        <v>597.66999999999996</v>
      </c>
      <c r="J38" s="56">
        <v>646.38</v>
      </c>
      <c r="K38" s="57">
        <v>0.35</v>
      </c>
      <c r="L38" s="51">
        <f>I38*K38</f>
        <v>209.18449999999999</v>
      </c>
      <c r="M38" s="58">
        <f>I38*K38-L38</f>
        <v>0</v>
      </c>
      <c r="N38" s="51">
        <v>364.57870000000003</v>
      </c>
      <c r="O38" s="55"/>
    </row>
    <row r="39" spans="1:15" ht="15.75" customHeight="1" x14ac:dyDescent="0.2">
      <c r="A39" t="s">
        <v>63</v>
      </c>
      <c r="B39" s="51" t="s">
        <v>93</v>
      </c>
      <c r="C39" s="4" t="s">
        <v>13</v>
      </c>
      <c r="D39" s="35">
        <v>3571375</v>
      </c>
      <c r="E39" s="36">
        <v>45562</v>
      </c>
      <c r="G39" s="27" t="s">
        <v>20</v>
      </c>
      <c r="I39" s="29">
        <v>2594.1999999999998</v>
      </c>
      <c r="J39" s="29">
        <v>2805.63</v>
      </c>
      <c r="K39" s="33">
        <v>0.35</v>
      </c>
      <c r="L39">
        <f>I39*K39</f>
        <v>907.96999999999991</v>
      </c>
      <c r="M39" s="31">
        <f>I39*K39-L39</f>
        <v>0</v>
      </c>
      <c r="N39">
        <f>J39-L39</f>
        <v>1897.6600000000003</v>
      </c>
      <c r="O39" s="27">
        <f>N39-(J39-L39)</f>
        <v>0</v>
      </c>
    </row>
    <row r="40" spans="1:15" ht="15.75" customHeight="1" x14ac:dyDescent="0.2">
      <c r="A40" t="s">
        <v>64</v>
      </c>
      <c r="B40" s="51" t="s">
        <v>93</v>
      </c>
      <c r="C40" s="4" t="s">
        <v>13</v>
      </c>
      <c r="D40" s="35">
        <v>3575143</v>
      </c>
      <c r="E40" s="36">
        <v>45566</v>
      </c>
      <c r="G40" s="27" t="s">
        <v>20</v>
      </c>
      <c r="I40" s="29">
        <v>460.37</v>
      </c>
      <c r="J40" s="29">
        <v>497.89</v>
      </c>
      <c r="K40" s="33">
        <v>0.35</v>
      </c>
      <c r="L40">
        <v>161.13</v>
      </c>
      <c r="M40" s="31">
        <v>0</v>
      </c>
      <c r="N40" s="59" t="s">
        <v>65</v>
      </c>
      <c r="O40" s="27"/>
    </row>
    <row r="41" spans="1:15" ht="15.75" customHeight="1" x14ac:dyDescent="0.2">
      <c r="A41" s="29" t="s">
        <v>66</v>
      </c>
      <c r="B41" s="67" t="s">
        <v>94</v>
      </c>
      <c r="C41" s="4" t="s">
        <v>13</v>
      </c>
      <c r="D41" s="35">
        <v>3573119</v>
      </c>
      <c r="E41" s="36">
        <v>45593</v>
      </c>
      <c r="G41" s="27" t="s">
        <v>15</v>
      </c>
      <c r="I41" s="29">
        <v>495.05</v>
      </c>
      <c r="J41" s="29">
        <v>535.4</v>
      </c>
      <c r="K41" s="33">
        <v>0.25</v>
      </c>
      <c r="L41">
        <v>123.77</v>
      </c>
      <c r="M41" s="31">
        <v>0</v>
      </c>
      <c r="N41" s="27">
        <v>411.63</v>
      </c>
      <c r="O41" s="27">
        <f>N41-(J41-L41)</f>
        <v>0</v>
      </c>
    </row>
    <row r="42" spans="1:15" ht="15.75" customHeight="1" x14ac:dyDescent="0.2">
      <c r="A42" s="29" t="s">
        <v>66</v>
      </c>
      <c r="B42" s="67" t="s">
        <v>93</v>
      </c>
      <c r="C42" s="4" t="s">
        <v>13</v>
      </c>
      <c r="D42" s="35">
        <v>3576437</v>
      </c>
      <c r="E42" s="36">
        <v>45593</v>
      </c>
      <c r="G42" s="27" t="s">
        <v>24</v>
      </c>
      <c r="I42" s="29">
        <v>712.5</v>
      </c>
      <c r="J42" s="29">
        <v>770.57</v>
      </c>
      <c r="K42" s="33">
        <v>0.25</v>
      </c>
      <c r="L42">
        <v>178.13</v>
      </c>
      <c r="M42" s="31">
        <v>0</v>
      </c>
      <c r="N42" s="27">
        <v>592.44000000000005</v>
      </c>
      <c r="O42" s="27">
        <f>N42-(J42-L42)</f>
        <v>0</v>
      </c>
    </row>
    <row r="43" spans="1:15" ht="15.75" customHeight="1" x14ac:dyDescent="0.2">
      <c r="A43" s="29" t="s">
        <v>67</v>
      </c>
      <c r="B43" s="67" t="s">
        <v>93</v>
      </c>
      <c r="C43" s="4" t="s">
        <v>13</v>
      </c>
      <c r="D43" s="35">
        <v>3569981</v>
      </c>
      <c r="E43" s="36">
        <v>45603</v>
      </c>
      <c r="G43" s="27" t="s">
        <v>15</v>
      </c>
      <c r="I43" s="29">
        <v>1335.13</v>
      </c>
      <c r="J43" s="29">
        <v>1443.95</v>
      </c>
      <c r="K43" s="33">
        <v>0.25</v>
      </c>
      <c r="L43">
        <v>333.83</v>
      </c>
      <c r="M43" s="31">
        <v>0</v>
      </c>
      <c r="N43" s="27">
        <v>1110.1199999999999</v>
      </c>
      <c r="O43" s="27">
        <f>N43-(J43-L43)</f>
        <v>0</v>
      </c>
    </row>
    <row r="44" spans="1:15" ht="15.75" customHeight="1" x14ac:dyDescent="0.2">
      <c r="A44" s="29" t="s">
        <v>68</v>
      </c>
      <c r="B44" s="67" t="s">
        <v>93</v>
      </c>
      <c r="C44" s="4" t="s">
        <v>13</v>
      </c>
      <c r="D44" s="35">
        <v>3572394</v>
      </c>
      <c r="E44" s="36">
        <v>45604</v>
      </c>
      <c r="G44" s="27" t="s">
        <v>20</v>
      </c>
      <c r="I44" s="29">
        <v>756.85</v>
      </c>
      <c r="J44" s="29">
        <v>818.53</v>
      </c>
      <c r="K44" s="33">
        <v>0.35</v>
      </c>
      <c r="L44">
        <v>264.89999999999998</v>
      </c>
      <c r="M44" s="31">
        <v>0</v>
      </c>
      <c r="N44" s="27">
        <v>553.63</v>
      </c>
      <c r="O44" s="27">
        <f>N44-(J44-L44)</f>
        <v>0</v>
      </c>
    </row>
    <row r="45" spans="1:15" ht="15.75" customHeight="1" x14ac:dyDescent="0.2">
      <c r="A45" s="29" t="s">
        <v>69</v>
      </c>
      <c r="B45" s="67" t="s">
        <v>93</v>
      </c>
      <c r="C45" s="4" t="s">
        <v>13</v>
      </c>
      <c r="D45" s="35">
        <v>3571735</v>
      </c>
      <c r="E45" s="36">
        <v>45644</v>
      </c>
      <c r="G45" s="27" t="s">
        <v>20</v>
      </c>
      <c r="I45" s="60">
        <v>10722.7</v>
      </c>
      <c r="J45" s="60">
        <v>11596.6</v>
      </c>
      <c r="K45" s="33">
        <v>0.35</v>
      </c>
      <c r="L45">
        <v>3752.95</v>
      </c>
      <c r="M45" s="31">
        <v>0</v>
      </c>
      <c r="N45" s="27">
        <v>7843.65</v>
      </c>
      <c r="O45" s="27">
        <f>N45-(J45-L45)</f>
        <v>0</v>
      </c>
    </row>
    <row r="46" spans="1:15" ht="15.75" customHeight="1" x14ac:dyDescent="0.2">
      <c r="A46" s="29" t="s">
        <v>70</v>
      </c>
      <c r="B46" s="67" t="s">
        <v>93</v>
      </c>
      <c r="C46" s="4" t="s">
        <v>13</v>
      </c>
      <c r="D46" s="35">
        <v>3583222</v>
      </c>
      <c r="E46" s="61">
        <v>45664</v>
      </c>
      <c r="G46" s="27" t="s">
        <v>20</v>
      </c>
      <c r="I46" s="29">
        <v>912.66</v>
      </c>
      <c r="J46" s="29">
        <v>987.06</v>
      </c>
      <c r="K46" s="33">
        <v>0.35</v>
      </c>
      <c r="L46">
        <v>319.43099999999998</v>
      </c>
      <c r="M46" s="31">
        <f>I46*K46-L46</f>
        <v>0</v>
      </c>
      <c r="N46" s="27">
        <v>667.63</v>
      </c>
      <c r="O46" s="27">
        <f>N46-(J46-L46)</f>
        <v>1.00000000009004E-3</v>
      </c>
    </row>
    <row r="47" spans="1:15" s="64" customFormat="1" ht="15.75" customHeight="1" x14ac:dyDescent="0.2">
      <c r="A47" s="29" t="s">
        <v>71</v>
      </c>
      <c r="B47" s="67" t="s">
        <v>93</v>
      </c>
      <c r="C47" s="62" t="s">
        <v>13</v>
      </c>
      <c r="D47" s="35">
        <v>3583953</v>
      </c>
      <c r="E47" s="36">
        <v>45673</v>
      </c>
      <c r="F47"/>
      <c r="G47" s="27" t="s">
        <v>20</v>
      </c>
      <c r="H47"/>
      <c r="I47" s="29">
        <v>1344</v>
      </c>
      <c r="J47" s="29">
        <v>1453.54</v>
      </c>
      <c r="K47" s="33">
        <v>0.35</v>
      </c>
      <c r="L47">
        <v>470.4</v>
      </c>
      <c r="M47" s="31">
        <f>I47*K47-L47</f>
        <v>0</v>
      </c>
      <c r="N47" s="63">
        <v>983.14</v>
      </c>
      <c r="O47" s="27">
        <f>N47-(J47-L47)</f>
        <v>0</v>
      </c>
    </row>
    <row r="48" spans="1:15" ht="15.75" customHeight="1" x14ac:dyDescent="0.2">
      <c r="A48" t="s">
        <v>72</v>
      </c>
      <c r="B48" s="67" t="s">
        <v>93</v>
      </c>
      <c r="C48" s="4" t="s">
        <v>13</v>
      </c>
      <c r="D48" s="35">
        <v>3585195</v>
      </c>
      <c r="E48" s="36">
        <v>45687</v>
      </c>
      <c r="G48" s="27" t="s">
        <v>20</v>
      </c>
      <c r="I48" s="29">
        <v>1345.98</v>
      </c>
      <c r="J48" s="60" t="s">
        <v>73</v>
      </c>
      <c r="K48" s="33">
        <v>0.35</v>
      </c>
      <c r="L48">
        <v>471.09</v>
      </c>
      <c r="M48" s="31">
        <v>0</v>
      </c>
      <c r="N48" s="27">
        <v>987.89</v>
      </c>
      <c r="O48" s="27" t="e">
        <f>N48-(J48-L48)</f>
        <v>#VALUE!</v>
      </c>
    </row>
    <row r="49" spans="1:15" ht="15.75" customHeight="1" x14ac:dyDescent="0.2">
      <c r="A49" t="s">
        <v>74</v>
      </c>
      <c r="B49" s="67" t="s">
        <v>93</v>
      </c>
      <c r="C49" s="4" t="s">
        <v>13</v>
      </c>
      <c r="D49" s="35">
        <v>3587747</v>
      </c>
      <c r="E49" s="36">
        <v>45707</v>
      </c>
      <c r="G49" s="27" t="s">
        <v>20</v>
      </c>
      <c r="I49" s="29">
        <v>2479.6999999999998</v>
      </c>
      <c r="J49" s="29">
        <v>2681.8</v>
      </c>
      <c r="K49" s="33">
        <v>0.35</v>
      </c>
      <c r="L49" s="60">
        <v>867.89</v>
      </c>
      <c r="M49" s="31">
        <v>0</v>
      </c>
      <c r="N49" s="27">
        <v>1813.91</v>
      </c>
      <c r="O49" s="27">
        <f>N49-(J49-L49)</f>
        <v>0</v>
      </c>
    </row>
    <row r="50" spans="1:15" ht="15.75" customHeight="1" x14ac:dyDescent="0.2">
      <c r="A50" t="s">
        <v>75</v>
      </c>
      <c r="B50" s="67" t="s">
        <v>93</v>
      </c>
      <c r="C50" s="4" t="s">
        <v>13</v>
      </c>
      <c r="D50" s="35">
        <v>3587794</v>
      </c>
      <c r="E50" s="36">
        <v>45716</v>
      </c>
      <c r="G50" s="27" t="s">
        <v>20</v>
      </c>
      <c r="I50" s="29">
        <v>215.76</v>
      </c>
      <c r="J50">
        <v>233.34</v>
      </c>
      <c r="K50" s="33">
        <v>0.35</v>
      </c>
      <c r="L50">
        <v>75.52</v>
      </c>
      <c r="M50" s="31">
        <v>0</v>
      </c>
      <c r="N50" s="27">
        <v>157.82</v>
      </c>
      <c r="O50" s="27">
        <f>N50-(J50-L50)</f>
        <v>0</v>
      </c>
    </row>
    <row r="51" spans="1:15" ht="15.75" customHeight="1" x14ac:dyDescent="0.2">
      <c r="A51" s="29" t="s">
        <v>76</v>
      </c>
      <c r="B51" s="67" t="s">
        <v>93</v>
      </c>
      <c r="C51" s="4" t="s">
        <v>13</v>
      </c>
      <c r="D51" s="35">
        <v>3588904</v>
      </c>
      <c r="E51" s="36">
        <v>45727</v>
      </c>
      <c r="G51" s="27" t="s">
        <v>20</v>
      </c>
      <c r="I51" s="29">
        <v>1285.3399999999999</v>
      </c>
      <c r="J51">
        <v>1390.09</v>
      </c>
      <c r="K51" s="33">
        <v>0.35</v>
      </c>
      <c r="L51" s="59">
        <v>449.87</v>
      </c>
      <c r="M51" s="31">
        <f>M57</f>
        <v>0</v>
      </c>
      <c r="N51" s="27">
        <v>940.22</v>
      </c>
      <c r="O51" s="27">
        <f>N51-(J51-L51)</f>
        <v>0</v>
      </c>
    </row>
    <row r="52" spans="1:15" ht="15.75" customHeight="1" x14ac:dyDescent="0.2">
      <c r="A52" s="29" t="s">
        <v>77</v>
      </c>
      <c r="B52" s="67" t="s">
        <v>93</v>
      </c>
      <c r="C52" s="4" t="s">
        <v>13</v>
      </c>
      <c r="D52" s="35">
        <v>3588697</v>
      </c>
      <c r="E52" s="36">
        <v>45743</v>
      </c>
      <c r="G52" s="27" t="s">
        <v>20</v>
      </c>
      <c r="I52" s="29">
        <v>951.3</v>
      </c>
      <c r="J52">
        <v>1028.96</v>
      </c>
      <c r="K52" s="33">
        <v>0.35</v>
      </c>
      <c r="L52" s="60">
        <v>332.96</v>
      </c>
      <c r="M52" s="31"/>
      <c r="N52" s="27">
        <v>695.88</v>
      </c>
      <c r="O52" s="27">
        <f>N52-(J52-L52)</f>
        <v>-0.12000000000000455</v>
      </c>
    </row>
    <row r="53" spans="1:15" ht="15.75" customHeight="1" x14ac:dyDescent="0.2">
      <c r="A53" s="29" t="s">
        <v>78</v>
      </c>
      <c r="B53" s="67" t="s">
        <v>93</v>
      </c>
      <c r="C53" s="4" t="s">
        <v>13</v>
      </c>
      <c r="D53" s="35">
        <v>3595106</v>
      </c>
      <c r="E53" s="36">
        <v>45798</v>
      </c>
      <c r="G53" s="27" t="s">
        <v>20</v>
      </c>
      <c r="I53" s="29">
        <v>297.68</v>
      </c>
      <c r="J53">
        <v>321.94</v>
      </c>
      <c r="K53" s="33">
        <v>0.35</v>
      </c>
      <c r="L53">
        <v>104.19</v>
      </c>
      <c r="M53" s="31"/>
      <c r="N53" s="27">
        <v>217.75</v>
      </c>
      <c r="O53" s="27">
        <f>N53-(J53-L53)</f>
        <v>0</v>
      </c>
    </row>
    <row r="54" spans="1:15" ht="15.75" customHeight="1" x14ac:dyDescent="0.2">
      <c r="A54" s="29" t="s">
        <v>79</v>
      </c>
      <c r="B54" s="67" t="s">
        <v>93</v>
      </c>
      <c r="C54" s="4" t="s">
        <v>13</v>
      </c>
      <c r="D54" s="35">
        <v>3596227</v>
      </c>
      <c r="E54" s="36">
        <v>45824</v>
      </c>
      <c r="G54" s="27" t="s">
        <v>15</v>
      </c>
      <c r="I54" s="29">
        <v>246.4</v>
      </c>
      <c r="J54">
        <v>266.49</v>
      </c>
      <c r="K54" s="33">
        <v>0.25</v>
      </c>
      <c r="L54">
        <v>61.6</v>
      </c>
      <c r="M54" s="31">
        <f>I54*K54-L54</f>
        <v>0</v>
      </c>
      <c r="N54" s="27">
        <v>204.89</v>
      </c>
      <c r="O54" s="27">
        <f>N54-(J54-L54)</f>
        <v>0</v>
      </c>
    </row>
    <row r="55" spans="1:15" ht="15.75" customHeight="1" x14ac:dyDescent="0.2">
      <c r="A55" s="29" t="s">
        <v>80</v>
      </c>
      <c r="B55" s="67" t="s">
        <v>93</v>
      </c>
      <c r="C55" s="4" t="s">
        <v>13</v>
      </c>
      <c r="D55" s="35">
        <v>3596225</v>
      </c>
      <c r="E55" s="36">
        <v>45824</v>
      </c>
      <c r="G55" s="27" t="s">
        <v>15</v>
      </c>
      <c r="I55" s="29">
        <v>339.9</v>
      </c>
      <c r="J55">
        <v>367.61</v>
      </c>
      <c r="K55" s="33">
        <v>0.25</v>
      </c>
      <c r="L55">
        <v>84.97</v>
      </c>
      <c r="M55" s="31">
        <f>I55*K55-L55</f>
        <v>4.9999999999954525E-3</v>
      </c>
      <c r="N55" s="27">
        <v>282.64</v>
      </c>
      <c r="O55" s="27">
        <f>N55-(J55-L55)</f>
        <v>0</v>
      </c>
    </row>
    <row r="56" spans="1:15" ht="15.75" customHeight="1" x14ac:dyDescent="0.2">
      <c r="A56" s="29" t="s">
        <v>81</v>
      </c>
      <c r="B56" s="67" t="s">
        <v>93</v>
      </c>
      <c r="C56" s="4" t="s">
        <v>13</v>
      </c>
      <c r="D56" s="35">
        <v>3595355</v>
      </c>
      <c r="E56" s="36">
        <v>45833</v>
      </c>
      <c r="G56" s="27" t="s">
        <v>20</v>
      </c>
      <c r="I56" s="29">
        <v>672.67</v>
      </c>
      <c r="J56">
        <v>727.49</v>
      </c>
      <c r="K56" s="33">
        <v>0.35</v>
      </c>
      <c r="L56">
        <v>235.43</v>
      </c>
      <c r="M56" s="31">
        <f>I56*K56-L56</f>
        <v>4.4999999999504325E-3</v>
      </c>
      <c r="N56" s="31">
        <v>492.06</v>
      </c>
      <c r="O56" s="27">
        <f>N56-(J56-L56)</f>
        <v>0</v>
      </c>
    </row>
    <row r="57" spans="1:15" ht="15.75" customHeight="1" x14ac:dyDescent="0.2">
      <c r="A57" s="29" t="s">
        <v>82</v>
      </c>
      <c r="B57" s="67" t="s">
        <v>93</v>
      </c>
      <c r="C57" s="4" t="s">
        <v>13</v>
      </c>
      <c r="D57" s="35">
        <v>3589243</v>
      </c>
      <c r="E57" s="36">
        <v>45839</v>
      </c>
      <c r="G57" s="27" t="s">
        <v>20</v>
      </c>
      <c r="I57" s="29">
        <v>4891</v>
      </c>
      <c r="J57">
        <v>5289.62</v>
      </c>
      <c r="K57" s="33">
        <v>0.35</v>
      </c>
      <c r="L57">
        <v>1711.85</v>
      </c>
      <c r="M57" s="31"/>
      <c r="N57" s="27">
        <v>3577.77</v>
      </c>
      <c r="O57" s="27">
        <f>N57-(J57-L57)</f>
        <v>0</v>
      </c>
    </row>
    <row r="58" spans="1:15" ht="15.75" customHeight="1" x14ac:dyDescent="0.2">
      <c r="A58" s="29" t="s">
        <v>83</v>
      </c>
      <c r="B58" s="67" t="s">
        <v>93</v>
      </c>
      <c r="C58" s="4" t="s">
        <v>13</v>
      </c>
      <c r="D58" s="35">
        <v>3586849</v>
      </c>
      <c r="E58" s="36">
        <v>45869</v>
      </c>
      <c r="G58" s="27" t="s">
        <v>20</v>
      </c>
      <c r="I58" s="29">
        <v>6608</v>
      </c>
      <c r="J58">
        <v>7146.55</v>
      </c>
      <c r="K58" s="33">
        <v>0.35</v>
      </c>
      <c r="L58">
        <v>2312.8000000000002</v>
      </c>
      <c r="M58" s="31"/>
      <c r="N58" s="27">
        <v>4833.75</v>
      </c>
      <c r="O58" s="27">
        <f>N58-(J58-L58)</f>
        <v>0</v>
      </c>
    </row>
    <row r="59" spans="1:15" ht="15.75" customHeight="1" x14ac:dyDescent="0.2">
      <c r="A59" s="29" t="s">
        <v>84</v>
      </c>
      <c r="B59" s="67" t="s">
        <v>93</v>
      </c>
      <c r="C59" s="4" t="s">
        <v>13</v>
      </c>
      <c r="D59" s="35">
        <v>3597649</v>
      </c>
      <c r="E59" s="36">
        <v>45881</v>
      </c>
      <c r="G59" s="27" t="s">
        <v>20</v>
      </c>
      <c r="I59" s="29">
        <v>889.8</v>
      </c>
      <c r="J59">
        <v>962.32</v>
      </c>
      <c r="K59" s="33">
        <v>0.35</v>
      </c>
      <c r="L59">
        <v>311.43</v>
      </c>
      <c r="M59" s="31"/>
      <c r="N59" s="27">
        <v>650.89</v>
      </c>
      <c r="O59" s="27">
        <f>N59-(J59-L59)</f>
        <v>0</v>
      </c>
    </row>
    <row r="60" spans="1:15" ht="15.75" customHeight="1" x14ac:dyDescent="0.2">
      <c r="A60" s="29" t="s">
        <v>85</v>
      </c>
      <c r="B60" s="67" t="s">
        <v>93</v>
      </c>
      <c r="C60" s="4" t="s">
        <v>13</v>
      </c>
      <c r="D60" s="35">
        <v>3602430</v>
      </c>
      <c r="E60" s="36">
        <v>45897</v>
      </c>
      <c r="G60" s="27" t="s">
        <v>20</v>
      </c>
      <c r="I60" s="29">
        <v>183.45</v>
      </c>
      <c r="J60">
        <v>198.4</v>
      </c>
      <c r="K60" s="33">
        <v>0.35</v>
      </c>
      <c r="L60">
        <v>64.209999999999994</v>
      </c>
      <c r="M60" s="31"/>
      <c r="N60" s="27">
        <v>134.19</v>
      </c>
      <c r="O60" s="27">
        <f>N60-(J60-L60)</f>
        <v>0</v>
      </c>
    </row>
    <row r="61" spans="1:15" ht="15.75" customHeight="1" x14ac:dyDescent="0.2">
      <c r="A61" s="29" t="s">
        <v>86</v>
      </c>
      <c r="B61" s="67" t="s">
        <v>93</v>
      </c>
      <c r="C61" s="4" t="s">
        <v>13</v>
      </c>
      <c r="D61" s="35">
        <v>3600642</v>
      </c>
      <c r="E61" s="36">
        <v>45911</v>
      </c>
      <c r="G61" s="27" t="s">
        <v>24</v>
      </c>
      <c r="I61" s="29">
        <v>390</v>
      </c>
      <c r="J61">
        <v>421.79</v>
      </c>
      <c r="K61" s="33">
        <v>0.25</v>
      </c>
      <c r="L61">
        <v>97.5</v>
      </c>
      <c r="M61" s="31"/>
      <c r="N61" s="27">
        <v>324.29000000000002</v>
      </c>
      <c r="O61" s="27">
        <f>N61-(J61-L61)</f>
        <v>0</v>
      </c>
    </row>
    <row r="62" spans="1:15" ht="15.75" customHeight="1" x14ac:dyDescent="0.2">
      <c r="A62" s="29" t="s">
        <v>87</v>
      </c>
      <c r="B62" s="67" t="s">
        <v>93</v>
      </c>
      <c r="C62" s="4" t="s">
        <v>13</v>
      </c>
      <c r="D62" s="35">
        <v>3604323</v>
      </c>
      <c r="E62" s="36">
        <v>45951</v>
      </c>
      <c r="G62" s="27" t="s">
        <v>88</v>
      </c>
      <c r="I62" s="29">
        <v>1608.81</v>
      </c>
      <c r="J62">
        <v>1739.92</v>
      </c>
      <c r="K62" s="65">
        <v>0.30214999999999997</v>
      </c>
      <c r="L62">
        <v>486.11</v>
      </c>
      <c r="M62" s="31"/>
      <c r="N62" s="27">
        <v>1253.81</v>
      </c>
      <c r="O62" s="27">
        <f>N62-(J62-L62)</f>
        <v>0</v>
      </c>
    </row>
    <row r="63" spans="1:15" ht="15.75" customHeight="1" x14ac:dyDescent="0.2">
      <c r="A63" s="29" t="s">
        <v>46</v>
      </c>
      <c r="B63" s="67" t="s">
        <v>93</v>
      </c>
      <c r="C63" s="4" t="s">
        <v>13</v>
      </c>
      <c r="D63" s="35">
        <v>3608117</v>
      </c>
      <c r="E63" s="36">
        <v>45966</v>
      </c>
      <c r="G63" s="27" t="s">
        <v>24</v>
      </c>
      <c r="I63" s="29">
        <v>230</v>
      </c>
      <c r="J63">
        <v>248.75</v>
      </c>
      <c r="K63" s="33">
        <v>0.25</v>
      </c>
      <c r="L63">
        <v>57.5</v>
      </c>
      <c r="M63" s="31"/>
      <c r="N63" s="27">
        <v>191.25</v>
      </c>
      <c r="O63" s="27">
        <f>N63-(J63-L63)</f>
        <v>0</v>
      </c>
    </row>
    <row r="64" spans="1:15" ht="15.75" customHeight="1" x14ac:dyDescent="0.2">
      <c r="A64" t="s">
        <v>89</v>
      </c>
      <c r="B64" s="67" t="s">
        <v>93</v>
      </c>
      <c r="C64" s="4" t="s">
        <v>13</v>
      </c>
      <c r="D64" s="35">
        <v>3605729</v>
      </c>
      <c r="E64" s="36">
        <v>45975</v>
      </c>
      <c r="G64" s="27" t="s">
        <v>20</v>
      </c>
      <c r="I64" s="29">
        <v>2600</v>
      </c>
      <c r="J64">
        <v>2811.9</v>
      </c>
      <c r="K64" s="33">
        <v>0.35</v>
      </c>
      <c r="L64">
        <v>910</v>
      </c>
      <c r="M64" s="31"/>
      <c r="N64" s="27">
        <v>1901.9</v>
      </c>
      <c r="O64" s="27">
        <f>N64-(J64-L64)</f>
        <v>0</v>
      </c>
    </row>
    <row r="65" spans="1:17" ht="15.75" customHeight="1" x14ac:dyDescent="0.2">
      <c r="A65" s="29" t="s">
        <v>86</v>
      </c>
      <c r="B65" s="67" t="s">
        <v>93</v>
      </c>
      <c r="C65" s="4" t="s">
        <v>13</v>
      </c>
      <c r="D65" s="35">
        <v>3608596</v>
      </c>
      <c r="E65" s="36">
        <v>46003</v>
      </c>
      <c r="G65" s="27" t="s">
        <v>20</v>
      </c>
      <c r="I65" s="29">
        <v>1478</v>
      </c>
      <c r="J65">
        <v>1598.46</v>
      </c>
      <c r="K65" s="33">
        <v>0.35</v>
      </c>
      <c r="L65">
        <v>517.29999999999995</v>
      </c>
      <c r="M65" s="31"/>
      <c r="N65" s="27">
        <v>1081.1600000000001</v>
      </c>
      <c r="O65" s="27">
        <f>N65-(J65-L65)</f>
        <v>0</v>
      </c>
    </row>
    <row r="66" spans="1:17" ht="15.75" customHeight="1" x14ac:dyDescent="0.2">
      <c r="A66" t="s">
        <v>90</v>
      </c>
      <c r="B66" s="67" t="s">
        <v>93</v>
      </c>
      <c r="C66" s="4" t="s">
        <v>13</v>
      </c>
      <c r="D66" s="35">
        <v>3610891</v>
      </c>
      <c r="E66" s="36">
        <v>46009</v>
      </c>
      <c r="G66" s="27" t="s">
        <v>91</v>
      </c>
      <c r="I66" s="29">
        <v>277.39</v>
      </c>
      <c r="J66">
        <v>300</v>
      </c>
      <c r="K66" s="33">
        <v>0.25</v>
      </c>
      <c r="L66">
        <v>69.349999999999994</v>
      </c>
      <c r="M66" s="31"/>
      <c r="N66" s="27">
        <v>230.65</v>
      </c>
      <c r="O66" s="27">
        <f>N66-(J66-L66)</f>
        <v>0</v>
      </c>
    </row>
    <row r="67" spans="1:17" ht="15.75" customHeight="1" x14ac:dyDescent="0.2">
      <c r="A67" s="29" t="s">
        <v>53</v>
      </c>
      <c r="B67" s="67" t="s">
        <v>93</v>
      </c>
      <c r="C67" s="4" t="s">
        <v>13</v>
      </c>
      <c r="D67" s="35">
        <v>3612935</v>
      </c>
      <c r="E67" s="36">
        <v>46021</v>
      </c>
      <c r="G67" s="27" t="s">
        <v>20</v>
      </c>
      <c r="I67" s="29">
        <v>1803.85</v>
      </c>
      <c r="J67">
        <v>1950.86</v>
      </c>
      <c r="K67" s="33">
        <v>0.35</v>
      </c>
      <c r="L67">
        <v>631.35</v>
      </c>
      <c r="M67" s="31"/>
      <c r="N67" s="27">
        <v>1319.51</v>
      </c>
      <c r="O67" s="27">
        <f>N67-(J67-L67)</f>
        <v>0</v>
      </c>
    </row>
    <row r="68" spans="1:17" x14ac:dyDescent="0.2">
      <c r="A68" t="s">
        <v>109</v>
      </c>
      <c r="B68" s="67" t="s">
        <v>93</v>
      </c>
      <c r="C68" t="s">
        <v>13</v>
      </c>
      <c r="D68" s="83">
        <v>3575309</v>
      </c>
      <c r="E68" s="36">
        <v>45567</v>
      </c>
      <c r="G68" t="s">
        <v>20</v>
      </c>
      <c r="I68">
        <v>755.74</v>
      </c>
      <c r="J68">
        <v>768.29</v>
      </c>
      <c r="K68" s="33">
        <v>0.35</v>
      </c>
      <c r="L68">
        <v>264.51</v>
      </c>
      <c r="M68" s="31">
        <f>I68*K68-L68</f>
        <v>-9.9999999997635314E-4</v>
      </c>
      <c r="N68">
        <v>503.78</v>
      </c>
      <c r="O68" s="27">
        <f>(J68-I68*K68)-N68</f>
        <v>9.9999999997635314E-4</v>
      </c>
    </row>
    <row r="69" spans="1:17" ht="17" x14ac:dyDescent="0.2">
      <c r="A69" s="51" t="s">
        <v>96</v>
      </c>
      <c r="B69" s="51" t="s">
        <v>93</v>
      </c>
      <c r="C69" s="52" t="s">
        <v>97</v>
      </c>
      <c r="D69" s="53">
        <v>3571004</v>
      </c>
      <c r="E69" s="54">
        <v>45482</v>
      </c>
      <c r="F69" s="51"/>
      <c r="G69" s="55" t="s">
        <v>20</v>
      </c>
      <c r="H69" s="51"/>
      <c r="I69" s="51">
        <v>30.58</v>
      </c>
      <c r="J69" s="51">
        <v>33.08</v>
      </c>
      <c r="K69" s="57">
        <v>0.39</v>
      </c>
      <c r="L69" s="51">
        <f>I69*K69</f>
        <v>11.9262</v>
      </c>
      <c r="M69" s="55">
        <f>I69*K69-L69</f>
        <v>0</v>
      </c>
      <c r="N69" s="51">
        <v>18.6538</v>
      </c>
      <c r="O69" s="55">
        <v>0</v>
      </c>
      <c r="P69" s="51"/>
      <c r="Q69" s="51"/>
    </row>
    <row r="70" spans="1:17" s="68" customFormat="1" ht="17" x14ac:dyDescent="0.2">
      <c r="A70" s="68" t="s">
        <v>98</v>
      </c>
      <c r="B70" s="68" t="s">
        <v>94</v>
      </c>
      <c r="C70" s="69" t="s">
        <v>97</v>
      </c>
      <c r="D70" s="70">
        <v>3575297</v>
      </c>
      <c r="E70" s="71">
        <v>45567</v>
      </c>
      <c r="G70" s="72" t="s">
        <v>20</v>
      </c>
      <c r="I70" s="68">
        <v>66.75</v>
      </c>
      <c r="J70" s="68">
        <v>72.19</v>
      </c>
      <c r="K70" s="73">
        <v>0.35</v>
      </c>
      <c r="L70" s="68">
        <v>23.36</v>
      </c>
      <c r="N70" s="74">
        <v>48.83</v>
      </c>
    </row>
    <row r="71" spans="1:17" s="68" customFormat="1" ht="17" x14ac:dyDescent="0.2">
      <c r="A71" s="68" t="s">
        <v>99</v>
      </c>
      <c r="B71" s="68" t="s">
        <v>94</v>
      </c>
      <c r="C71" s="69" t="s">
        <v>97</v>
      </c>
      <c r="D71" s="70">
        <v>3575305</v>
      </c>
      <c r="E71" s="71">
        <v>45567</v>
      </c>
      <c r="G71" s="72" t="s">
        <v>20</v>
      </c>
      <c r="I71" s="68">
        <v>66.75</v>
      </c>
      <c r="J71" s="68">
        <v>72.19</v>
      </c>
      <c r="K71" s="73">
        <v>0.35</v>
      </c>
      <c r="L71" s="68">
        <v>23.36</v>
      </c>
      <c r="N71" s="74">
        <v>48.83</v>
      </c>
    </row>
    <row r="72" spans="1:17" ht="17" x14ac:dyDescent="0.2">
      <c r="A72" t="s">
        <v>100</v>
      </c>
      <c r="B72" s="68" t="s">
        <v>94</v>
      </c>
      <c r="C72" s="52" t="s">
        <v>97</v>
      </c>
      <c r="D72" s="35">
        <v>3575308</v>
      </c>
      <c r="E72" s="36">
        <v>45567</v>
      </c>
      <c r="G72" s="55" t="s">
        <v>20</v>
      </c>
      <c r="I72" s="29">
        <v>49.53</v>
      </c>
      <c r="J72" s="29">
        <v>53.56</v>
      </c>
      <c r="K72" s="33">
        <v>0.35</v>
      </c>
      <c r="L72">
        <v>17.329999999999998</v>
      </c>
      <c r="M72"/>
      <c r="N72" s="59">
        <v>36.229999999999997</v>
      </c>
    </row>
    <row r="73" spans="1:17" s="75" customFormat="1" ht="17" x14ac:dyDescent="0.2">
      <c r="A73" s="75" t="s">
        <v>101</v>
      </c>
      <c r="B73" s="68" t="s">
        <v>94</v>
      </c>
      <c r="C73" s="76" t="s">
        <v>97</v>
      </c>
      <c r="D73" s="77">
        <v>3575309</v>
      </c>
      <c r="E73" s="78">
        <v>45567</v>
      </c>
      <c r="G73" s="79" t="s">
        <v>20</v>
      </c>
      <c r="I73" s="75">
        <v>66.75</v>
      </c>
      <c r="J73" s="75">
        <v>72.19</v>
      </c>
      <c r="K73" s="80">
        <v>0.35</v>
      </c>
      <c r="L73" s="75">
        <v>23.36</v>
      </c>
      <c r="N73" s="81">
        <v>48.83</v>
      </c>
    </row>
    <row r="74" spans="1:17" s="75" customFormat="1" ht="17" x14ac:dyDescent="0.2">
      <c r="A74" s="75" t="s">
        <v>102</v>
      </c>
      <c r="B74" s="68" t="s">
        <v>94</v>
      </c>
      <c r="C74" s="76" t="s">
        <v>97</v>
      </c>
      <c r="D74" s="82" t="s">
        <v>103</v>
      </c>
      <c r="E74" s="78">
        <v>45567</v>
      </c>
      <c r="G74" s="79" t="s">
        <v>20</v>
      </c>
      <c r="I74" s="75">
        <v>84.9</v>
      </c>
      <c r="J74" s="75">
        <v>91.82</v>
      </c>
      <c r="K74" s="80">
        <v>0.35</v>
      </c>
      <c r="L74" s="75">
        <v>29.71</v>
      </c>
      <c r="N74" s="81">
        <v>62.11</v>
      </c>
    </row>
    <row r="75" spans="1:17" s="75" customFormat="1" ht="17" x14ac:dyDescent="0.2">
      <c r="A75" s="75" t="s">
        <v>104</v>
      </c>
      <c r="B75" s="75" t="s">
        <v>93</v>
      </c>
      <c r="C75" s="76" t="s">
        <v>97</v>
      </c>
      <c r="D75" s="77">
        <v>3588680</v>
      </c>
      <c r="E75" s="78">
        <v>45751</v>
      </c>
      <c r="G75" s="75" t="s">
        <v>20</v>
      </c>
      <c r="I75" s="81">
        <v>110.19</v>
      </c>
      <c r="J75" s="81">
        <v>101.86</v>
      </c>
      <c r="K75" s="80">
        <v>0.35</v>
      </c>
      <c r="L75" s="81" t="s">
        <v>105</v>
      </c>
      <c r="N75" s="75">
        <v>74.510000000000005</v>
      </c>
    </row>
    <row r="76" spans="1:17" ht="17" x14ac:dyDescent="0.2">
      <c r="A76" s="75" t="s">
        <v>106</v>
      </c>
      <c r="B76" s="75" t="s">
        <v>93</v>
      </c>
      <c r="C76" s="76" t="s">
        <v>97</v>
      </c>
      <c r="D76" s="77">
        <v>3597467</v>
      </c>
      <c r="E76" s="36">
        <v>45833</v>
      </c>
      <c r="G76" s="75" t="s">
        <v>20</v>
      </c>
      <c r="I76" s="75">
        <v>33.020000000000003</v>
      </c>
      <c r="J76" s="75">
        <v>35.71</v>
      </c>
      <c r="K76" s="80">
        <v>0.35</v>
      </c>
      <c r="L76" s="75">
        <v>11.56</v>
      </c>
      <c r="M76"/>
      <c r="N76">
        <v>24.15</v>
      </c>
    </row>
    <row r="77" spans="1:17" ht="17" x14ac:dyDescent="0.2">
      <c r="A77" s="75" t="s">
        <v>107</v>
      </c>
      <c r="B77" s="75" t="s">
        <v>93</v>
      </c>
      <c r="C77" s="76" t="s">
        <v>97</v>
      </c>
      <c r="D77" s="77">
        <v>3602879</v>
      </c>
      <c r="E77" s="36">
        <v>45904</v>
      </c>
      <c r="G77" s="75" t="s">
        <v>20</v>
      </c>
      <c r="I77" s="75">
        <v>26.5</v>
      </c>
      <c r="J77" s="75">
        <v>30.38</v>
      </c>
      <c r="K77" s="80">
        <v>0.35</v>
      </c>
      <c r="L77" s="75">
        <v>9.27</v>
      </c>
      <c r="M77"/>
      <c r="N77">
        <v>21.11</v>
      </c>
    </row>
    <row r="78" spans="1:17" ht="17" x14ac:dyDescent="0.2">
      <c r="A78" t="s">
        <v>68</v>
      </c>
      <c r="B78" s="75" t="s">
        <v>93</v>
      </c>
      <c r="C78" t="s">
        <v>97</v>
      </c>
      <c r="D78" s="77">
        <v>2137581</v>
      </c>
      <c r="E78" s="36">
        <v>45969</v>
      </c>
      <c r="G78" s="29" t="s">
        <v>108</v>
      </c>
      <c r="I78">
        <v>596.42999999999995</v>
      </c>
      <c r="J78">
        <v>645.04</v>
      </c>
      <c r="M78"/>
      <c r="O78" s="29"/>
    </row>
    <row r="79" spans="1:17" ht="15.75" customHeight="1" x14ac:dyDescent="0.2">
      <c r="M79" s="31"/>
      <c r="O79" s="27"/>
    </row>
    <row r="80" spans="1:17" ht="15.75" customHeight="1" x14ac:dyDescent="0.2">
      <c r="M80" s="31"/>
      <c r="O80" s="27"/>
    </row>
    <row r="81" spans="13:15" ht="15.75" customHeight="1" x14ac:dyDescent="0.2">
      <c r="M81" s="31"/>
      <c r="O81" s="27"/>
    </row>
    <row r="82" spans="13:15" ht="15.75" customHeight="1" x14ac:dyDescent="0.2">
      <c r="M82" s="31"/>
      <c r="O82" s="27"/>
    </row>
    <row r="83" spans="13:15" ht="15.75" customHeight="1" x14ac:dyDescent="0.2">
      <c r="M83" s="31"/>
      <c r="O83" s="27"/>
    </row>
    <row r="84" spans="13:15" ht="15.75" customHeight="1" x14ac:dyDescent="0.2">
      <c r="M84" s="31"/>
      <c r="O84" s="27"/>
    </row>
    <row r="85" spans="13:15" ht="15.75" customHeight="1" x14ac:dyDescent="0.2">
      <c r="M85" s="31"/>
      <c r="O85" s="27"/>
    </row>
    <row r="86" spans="13:15" ht="15.75" customHeight="1" x14ac:dyDescent="0.2">
      <c r="M86" s="31"/>
      <c r="O86" s="27"/>
    </row>
    <row r="87" spans="13:15" ht="15.75" customHeight="1" x14ac:dyDescent="0.2">
      <c r="M87" s="31"/>
      <c r="O87" s="27"/>
    </row>
    <row r="88" spans="13:15" ht="15.75" customHeight="1" x14ac:dyDescent="0.2">
      <c r="M88" s="31"/>
      <c r="O88" s="27"/>
    </row>
    <row r="89" spans="13:15" ht="15.75" customHeight="1" x14ac:dyDescent="0.2">
      <c r="M89" s="31"/>
      <c r="O89" s="27"/>
    </row>
    <row r="90" spans="13:15" ht="15.75" customHeight="1" x14ac:dyDescent="0.2">
      <c r="M90" s="31"/>
      <c r="O90" s="27"/>
    </row>
    <row r="91" spans="13:15" ht="15.75" customHeight="1" x14ac:dyDescent="0.2">
      <c r="M91" s="31"/>
      <c r="O91" s="27"/>
    </row>
    <row r="92" spans="13:15" ht="15.75" customHeight="1" x14ac:dyDescent="0.2">
      <c r="M92" s="31"/>
      <c r="O92" s="27"/>
    </row>
    <row r="93" spans="13:15" ht="15.75" customHeight="1" x14ac:dyDescent="0.2">
      <c r="M93" s="31"/>
      <c r="O93" s="27"/>
    </row>
    <row r="94" spans="13:15" ht="15.75" customHeight="1" x14ac:dyDescent="0.2">
      <c r="M94" s="31"/>
      <c r="O94" s="27"/>
    </row>
    <row r="95" spans="13:15" ht="15.75" customHeight="1" x14ac:dyDescent="0.2">
      <c r="M95" s="31"/>
      <c r="O95" s="27"/>
    </row>
    <row r="96" spans="13:15" ht="15.75" customHeight="1" x14ac:dyDescent="0.2">
      <c r="M96" s="31"/>
      <c r="O96" s="27"/>
    </row>
    <row r="97" spans="13:15" ht="15.75" customHeight="1" x14ac:dyDescent="0.2">
      <c r="M97" s="31"/>
      <c r="O97" s="27"/>
    </row>
    <row r="98" spans="13:15" ht="15.75" customHeight="1" x14ac:dyDescent="0.2">
      <c r="M98" s="31"/>
      <c r="O98" s="27"/>
    </row>
    <row r="99" spans="13:15" ht="15.75" customHeight="1" x14ac:dyDescent="0.2">
      <c r="M99" s="31"/>
      <c r="O99" s="27"/>
    </row>
    <row r="100" spans="13:15" ht="15.75" customHeight="1" x14ac:dyDescent="0.2">
      <c r="M100" s="31"/>
      <c r="O100" s="27"/>
    </row>
    <row r="101" spans="13:15" ht="15.75" customHeight="1" x14ac:dyDescent="0.2">
      <c r="M101" s="31"/>
      <c r="O101" s="27"/>
    </row>
    <row r="102" spans="13:15" ht="15.75" customHeight="1" x14ac:dyDescent="0.2">
      <c r="M102" s="31"/>
      <c r="O102" s="27"/>
    </row>
    <row r="103" spans="13:15" ht="15.75" customHeight="1" x14ac:dyDescent="0.2">
      <c r="M103" s="31"/>
      <c r="O103" s="27"/>
    </row>
    <row r="104" spans="13:15" ht="15.75" customHeight="1" x14ac:dyDescent="0.2">
      <c r="M104" s="31"/>
      <c r="O104" s="27"/>
    </row>
    <row r="105" spans="13:15" ht="15.75" customHeight="1" x14ac:dyDescent="0.2">
      <c r="M105" s="31"/>
      <c r="O105" s="27"/>
    </row>
    <row r="106" spans="13:15" ht="15.75" customHeight="1" x14ac:dyDescent="0.2">
      <c r="M106" s="31"/>
      <c r="O106" s="27"/>
    </row>
    <row r="107" spans="13:15" ht="15.75" customHeight="1" x14ac:dyDescent="0.2">
      <c r="M107" s="31"/>
      <c r="O107" s="27"/>
    </row>
    <row r="108" spans="13:15" ht="15.75" customHeight="1" x14ac:dyDescent="0.2">
      <c r="M108" s="31"/>
      <c r="O108" s="27"/>
    </row>
    <row r="109" spans="13:15" ht="15.75" customHeight="1" x14ac:dyDescent="0.2">
      <c r="M109" s="31"/>
      <c r="O109" s="27"/>
    </row>
    <row r="110" spans="13:15" ht="15.75" customHeight="1" x14ac:dyDescent="0.2">
      <c r="M110" s="31"/>
      <c r="O110" s="27"/>
    </row>
    <row r="111" spans="13:15" ht="15.75" customHeight="1" x14ac:dyDescent="0.2">
      <c r="M111" s="31"/>
      <c r="O111" s="27"/>
    </row>
    <row r="112" spans="13:15" ht="15.75" customHeight="1" x14ac:dyDescent="0.2">
      <c r="M112" s="31"/>
      <c r="O112" s="27"/>
    </row>
    <row r="113" spans="13:15" ht="15.75" customHeight="1" x14ac:dyDescent="0.2">
      <c r="M113" s="31"/>
      <c r="O113" s="27"/>
    </row>
    <row r="114" spans="13:15" ht="15.75" customHeight="1" x14ac:dyDescent="0.2">
      <c r="M114" s="31"/>
      <c r="O114" s="27"/>
    </row>
    <row r="115" spans="13:15" ht="15.75" customHeight="1" x14ac:dyDescent="0.2">
      <c r="M115" s="31"/>
      <c r="O115" s="27"/>
    </row>
    <row r="116" spans="13:15" ht="15.75" customHeight="1" x14ac:dyDescent="0.2">
      <c r="M116" s="31"/>
      <c r="O116" s="27"/>
    </row>
    <row r="117" spans="13:15" ht="15.75" customHeight="1" x14ac:dyDescent="0.2">
      <c r="M117" s="31"/>
    </row>
    <row r="118" spans="13:15" ht="15.75" customHeight="1" x14ac:dyDescent="0.2">
      <c r="M118" s="31"/>
    </row>
    <row r="119" spans="13:15" ht="15.75" customHeight="1" x14ac:dyDescent="0.2">
      <c r="M119" s="31"/>
    </row>
    <row r="120" spans="13:15" ht="15.75" customHeight="1" x14ac:dyDescent="0.2">
      <c r="M120" s="31"/>
    </row>
    <row r="121" spans="13:15" ht="15.75" customHeight="1" x14ac:dyDescent="0.2">
      <c r="M121" s="31"/>
    </row>
    <row r="122" spans="13:15" ht="15.75" customHeight="1" x14ac:dyDescent="0.2">
      <c r="M122" s="31"/>
    </row>
    <row r="123" spans="13:15" ht="15.75" customHeight="1" x14ac:dyDescent="0.2">
      <c r="M123" s="31"/>
    </row>
    <row r="124" spans="13:15" ht="15.75" customHeight="1" x14ac:dyDescent="0.2">
      <c r="M124" s="31"/>
    </row>
    <row r="125" spans="13:15" ht="15.75" customHeight="1" x14ac:dyDescent="0.2">
      <c r="M125" s="31"/>
    </row>
    <row r="126" spans="13:15" ht="15.75" customHeight="1" x14ac:dyDescent="0.2">
      <c r="M126" s="31"/>
    </row>
    <row r="127" spans="13:15" ht="15.75" customHeight="1" x14ac:dyDescent="0.2">
      <c r="M127" s="31"/>
    </row>
    <row r="128" spans="13:15" ht="15.75" customHeight="1" x14ac:dyDescent="0.2">
      <c r="M128" s="31"/>
    </row>
    <row r="129" spans="13:13" ht="15.75" customHeight="1" x14ac:dyDescent="0.2">
      <c r="M129" s="31"/>
    </row>
    <row r="130" spans="13:13" ht="15.75" customHeight="1" x14ac:dyDescent="0.2">
      <c r="M130" s="31"/>
    </row>
    <row r="131" spans="13:13" ht="15.75" customHeight="1" x14ac:dyDescent="0.2">
      <c r="M131" s="31"/>
    </row>
    <row r="132" spans="13:13" ht="15.75" customHeight="1" x14ac:dyDescent="0.2">
      <c r="M132" s="31"/>
    </row>
    <row r="133" spans="13:13" ht="15.75" customHeight="1" x14ac:dyDescent="0.2">
      <c r="M133" s="31"/>
    </row>
    <row r="134" spans="13:13" ht="15.75" customHeight="1" x14ac:dyDescent="0.2">
      <c r="M134" s="31"/>
    </row>
    <row r="135" spans="13:13" ht="15.75" customHeight="1" x14ac:dyDescent="0.2">
      <c r="M135" s="31"/>
    </row>
    <row r="136" spans="13:13" ht="15.75" customHeight="1" x14ac:dyDescent="0.2">
      <c r="M136" s="31"/>
    </row>
    <row r="137" spans="13:13" ht="15.75" customHeight="1" x14ac:dyDescent="0.2">
      <c r="M137" s="31"/>
    </row>
    <row r="138" spans="13:13" ht="15.75" customHeight="1" x14ac:dyDescent="0.2">
      <c r="M138" s="31"/>
    </row>
    <row r="139" spans="13:13" ht="15.75" customHeight="1" x14ac:dyDescent="0.2">
      <c r="M139" s="31"/>
    </row>
    <row r="140" spans="13:13" ht="15.75" customHeight="1" x14ac:dyDescent="0.2">
      <c r="M140" s="31"/>
    </row>
    <row r="141" spans="13:13" ht="15.75" customHeight="1" x14ac:dyDescent="0.2">
      <c r="M141" s="31"/>
    </row>
    <row r="142" spans="13:13" ht="15.75" customHeight="1" x14ac:dyDescent="0.2">
      <c r="M142" s="31"/>
    </row>
    <row r="143" spans="13:13" ht="15.75" customHeight="1" x14ac:dyDescent="0.2">
      <c r="M143" s="31"/>
    </row>
    <row r="144" spans="13:13" ht="15.75" customHeight="1" x14ac:dyDescent="0.2">
      <c r="M144" s="31"/>
    </row>
    <row r="145" spans="13:13" ht="15.75" customHeight="1" x14ac:dyDescent="0.2">
      <c r="M145" s="31"/>
    </row>
    <row r="146" spans="13:13" ht="15.75" customHeight="1" x14ac:dyDescent="0.2">
      <c r="M146" s="31"/>
    </row>
    <row r="147" spans="13:13" ht="15.75" customHeight="1" x14ac:dyDescent="0.2">
      <c r="M147" s="31"/>
    </row>
    <row r="148" spans="13:13" ht="15.75" customHeight="1" x14ac:dyDescent="0.2">
      <c r="M148" s="31"/>
    </row>
    <row r="149" spans="13:13" ht="15.75" customHeight="1" x14ac:dyDescent="0.2">
      <c r="M149" s="31"/>
    </row>
    <row r="150" spans="13:13" ht="15.75" customHeight="1" x14ac:dyDescent="0.2">
      <c r="M150" s="31"/>
    </row>
    <row r="151" spans="13:13" ht="15.75" customHeight="1" x14ac:dyDescent="0.2">
      <c r="M151" s="31"/>
    </row>
    <row r="152" spans="13:13" ht="15.75" customHeight="1" x14ac:dyDescent="0.2">
      <c r="M152" s="31"/>
    </row>
    <row r="153" spans="13:13" ht="15.75" customHeight="1" x14ac:dyDescent="0.2">
      <c r="M153" s="31"/>
    </row>
    <row r="154" spans="13:13" ht="15.75" customHeight="1" x14ac:dyDescent="0.2">
      <c r="M154" s="31"/>
    </row>
    <row r="155" spans="13:13" ht="15.75" customHeight="1" x14ac:dyDescent="0.2">
      <c r="M155" s="31"/>
    </row>
    <row r="156" spans="13:13" ht="15.75" customHeight="1" x14ac:dyDescent="0.2">
      <c r="M156" s="31"/>
    </row>
    <row r="157" spans="13:13" ht="15.75" customHeight="1" x14ac:dyDescent="0.2">
      <c r="M157" s="31"/>
    </row>
    <row r="158" spans="13:13" ht="15.75" customHeight="1" x14ac:dyDescent="0.2">
      <c r="M158" s="31"/>
    </row>
    <row r="159" spans="13:13" ht="15.75" customHeight="1" x14ac:dyDescent="0.2">
      <c r="M159" s="31"/>
    </row>
    <row r="160" spans="13:13" ht="15.75" customHeight="1" x14ac:dyDescent="0.2">
      <c r="M160" s="31"/>
    </row>
    <row r="161" spans="13:13" ht="15.75" customHeight="1" x14ac:dyDescent="0.2">
      <c r="M161" s="31">
        <f>I161*K161-L161</f>
        <v>0</v>
      </c>
    </row>
    <row r="162" spans="13:13" ht="15.75" customHeight="1" x14ac:dyDescent="0.2">
      <c r="M162" s="31">
        <f>I162*K162-L162</f>
        <v>0</v>
      </c>
    </row>
    <row r="163" spans="13:13" ht="15.75" customHeight="1" x14ac:dyDescent="0.2">
      <c r="M163" s="31">
        <f>I163*K163-L163</f>
        <v>0</v>
      </c>
    </row>
    <row r="164" spans="13:13" ht="15.75" customHeight="1" x14ac:dyDescent="0.2">
      <c r="M164" s="31">
        <f>I164*K164-L164</f>
        <v>0</v>
      </c>
    </row>
    <row r="165" spans="13:13" ht="15.75" customHeight="1" x14ac:dyDescent="0.2">
      <c r="M165" s="31">
        <f>I165*K165-L165</f>
        <v>0</v>
      </c>
    </row>
    <row r="166" spans="13:13" ht="15.75" customHeight="1" x14ac:dyDescent="0.2">
      <c r="M166" s="31">
        <f>I166*K166-L166</f>
        <v>0</v>
      </c>
    </row>
    <row r="167" spans="13:13" ht="15.75" customHeight="1" x14ac:dyDescent="0.2">
      <c r="M167" s="31">
        <f>I167*K167-L167</f>
        <v>0</v>
      </c>
    </row>
    <row r="168" spans="13:13" ht="15.75" customHeight="1" x14ac:dyDescent="0.2">
      <c r="M168" s="31">
        <f>I168*K168-L168</f>
        <v>0</v>
      </c>
    </row>
    <row r="169" spans="13:13" ht="15.75" customHeight="1" x14ac:dyDescent="0.2">
      <c r="M169" s="31">
        <f>I169*K169-L169</f>
        <v>0</v>
      </c>
    </row>
    <row r="170" spans="13:13" ht="15.75" customHeight="1" x14ac:dyDescent="0.2">
      <c r="M170" s="31">
        <f>I170*K170-L170</f>
        <v>0</v>
      </c>
    </row>
    <row r="171" spans="13:13" ht="15.75" customHeight="1" x14ac:dyDescent="0.2">
      <c r="M171" s="31">
        <f>I171*K171-L171</f>
        <v>0</v>
      </c>
    </row>
    <row r="172" spans="13:13" ht="15.75" customHeight="1" x14ac:dyDescent="0.2">
      <c r="M172" s="31">
        <f>I172*K172-L172</f>
        <v>0</v>
      </c>
    </row>
    <row r="173" spans="13:13" ht="15.75" customHeight="1" x14ac:dyDescent="0.2">
      <c r="M173" s="31">
        <f>I173*K173-L173</f>
        <v>0</v>
      </c>
    </row>
    <row r="174" spans="13:13" ht="15.75" customHeight="1" x14ac:dyDescent="0.2">
      <c r="M174" s="31">
        <f>I174*K174-L174</f>
        <v>0</v>
      </c>
    </row>
    <row r="175" spans="13:13" ht="15.75" customHeight="1" x14ac:dyDescent="0.2">
      <c r="M175" s="31">
        <f>I175*K175-L175</f>
        <v>0</v>
      </c>
    </row>
    <row r="176" spans="13:13" ht="15.75" customHeight="1" x14ac:dyDescent="0.2">
      <c r="M176" s="31">
        <f>I176*K176-L176</f>
        <v>0</v>
      </c>
    </row>
    <row r="177" spans="13:13" ht="15.75" customHeight="1" x14ac:dyDescent="0.2">
      <c r="M177" s="31">
        <f>I177*K177-L177</f>
        <v>0</v>
      </c>
    </row>
    <row r="178" spans="13:13" ht="15.75" customHeight="1" x14ac:dyDescent="0.2">
      <c r="M178" s="31">
        <f>I178*K178-L178</f>
        <v>0</v>
      </c>
    </row>
    <row r="179" spans="13:13" ht="15.75" customHeight="1" x14ac:dyDescent="0.2">
      <c r="M179" s="31">
        <f>I179*K179-L179</f>
        <v>0</v>
      </c>
    </row>
    <row r="180" spans="13:13" ht="15.75" customHeight="1" x14ac:dyDescent="0.2">
      <c r="M180" s="31">
        <f>I180*K180-L180</f>
        <v>0</v>
      </c>
    </row>
    <row r="181" spans="13:13" ht="15.75" customHeight="1" x14ac:dyDescent="0.2">
      <c r="M181" s="31">
        <f>I181*K181-L181</f>
        <v>0</v>
      </c>
    </row>
    <row r="182" spans="13:13" ht="15.75" customHeight="1" x14ac:dyDescent="0.2">
      <c r="M182" s="31">
        <f>I182*K182-L182</f>
        <v>0</v>
      </c>
    </row>
    <row r="183" spans="13:13" ht="15.75" customHeight="1" x14ac:dyDescent="0.2">
      <c r="M183" s="31">
        <f>I183*K183-L183</f>
        <v>0</v>
      </c>
    </row>
    <row r="184" spans="13:13" ht="15.75" customHeight="1" x14ac:dyDescent="0.2">
      <c r="M184" s="31">
        <f>I184*K184-L184</f>
        <v>0</v>
      </c>
    </row>
    <row r="185" spans="13:13" ht="15.75" customHeight="1" x14ac:dyDescent="0.2">
      <c r="M185" s="31">
        <f>I185*K185-L185</f>
        <v>0</v>
      </c>
    </row>
    <row r="186" spans="13:13" ht="15.75" customHeight="1" x14ac:dyDescent="0.2">
      <c r="M186" s="31">
        <f>I186*K186-L186</f>
        <v>0</v>
      </c>
    </row>
    <row r="187" spans="13:13" ht="15.75" customHeight="1" x14ac:dyDescent="0.2">
      <c r="M187" s="31">
        <f>I187*K187-L187</f>
        <v>0</v>
      </c>
    </row>
    <row r="188" spans="13:13" ht="15.75" customHeight="1" x14ac:dyDescent="0.2">
      <c r="M188" s="31">
        <f>I188*K188-L188</f>
        <v>0</v>
      </c>
    </row>
    <row r="189" spans="13:13" ht="15.75" customHeight="1" x14ac:dyDescent="0.2">
      <c r="M189" s="31">
        <f>I189*K189-L189</f>
        <v>0</v>
      </c>
    </row>
    <row r="190" spans="13:13" ht="15.75" customHeight="1" x14ac:dyDescent="0.2">
      <c r="M190" s="31">
        <f>I190*K190-L190</f>
        <v>0</v>
      </c>
    </row>
    <row r="191" spans="13:13" ht="15.75" customHeight="1" x14ac:dyDescent="0.2">
      <c r="M191" s="31">
        <f>I191*K191-L191</f>
        <v>0</v>
      </c>
    </row>
    <row r="192" spans="13:13" ht="15.75" customHeight="1" x14ac:dyDescent="0.2">
      <c r="M192" s="31">
        <f>I192*K192-L192</f>
        <v>0</v>
      </c>
    </row>
    <row r="193" spans="13:13" ht="15.75" customHeight="1" x14ac:dyDescent="0.2">
      <c r="M193" s="31">
        <f>I193*K193-L193</f>
        <v>0</v>
      </c>
    </row>
    <row r="194" spans="13:13" ht="15.75" customHeight="1" x14ac:dyDescent="0.2">
      <c r="M194" s="31">
        <f>I194*K194-L194</f>
        <v>0</v>
      </c>
    </row>
    <row r="195" spans="13:13" ht="15.75" customHeight="1" x14ac:dyDescent="0.2">
      <c r="M195" s="31">
        <f>I195*K195-L195</f>
        <v>0</v>
      </c>
    </row>
    <row r="196" spans="13:13" ht="15.75" customHeight="1" x14ac:dyDescent="0.2">
      <c r="M196" s="31">
        <f>I196*K196-L196</f>
        <v>0</v>
      </c>
    </row>
    <row r="197" spans="13:13" ht="15.75" customHeight="1" x14ac:dyDescent="0.2">
      <c r="M197" s="31">
        <f>I197*K197-L197</f>
        <v>0</v>
      </c>
    </row>
    <row r="198" spans="13:13" ht="15.75" customHeight="1" x14ac:dyDescent="0.2">
      <c r="M198" s="31">
        <f>I198*K198-L198</f>
        <v>0</v>
      </c>
    </row>
    <row r="199" spans="13:13" ht="15.75" customHeight="1" x14ac:dyDescent="0.2">
      <c r="M199" s="31">
        <f>I199*K199-L199</f>
        <v>0</v>
      </c>
    </row>
    <row r="200" spans="13:13" ht="15.75" customHeight="1" x14ac:dyDescent="0.2">
      <c r="M200" s="31">
        <f>I200*K200-L200</f>
        <v>0</v>
      </c>
    </row>
    <row r="201" spans="13:13" ht="15.75" customHeight="1" x14ac:dyDescent="0.2">
      <c r="M201" s="31">
        <f>I201*K201-L201</f>
        <v>0</v>
      </c>
    </row>
    <row r="202" spans="13:13" ht="15.75" customHeight="1" x14ac:dyDescent="0.2">
      <c r="M202" s="31">
        <f>I202*K202-L202</f>
        <v>0</v>
      </c>
    </row>
    <row r="203" spans="13:13" ht="15.75" customHeight="1" x14ac:dyDescent="0.2">
      <c r="M203" s="31">
        <f>I203*K203-L203</f>
        <v>0</v>
      </c>
    </row>
    <row r="204" spans="13:13" ht="15.75" customHeight="1" x14ac:dyDescent="0.2">
      <c r="M204" s="31">
        <f>I204*K204-L204</f>
        <v>0</v>
      </c>
    </row>
    <row r="205" spans="13:13" ht="15.75" customHeight="1" x14ac:dyDescent="0.2">
      <c r="M205" s="31">
        <f>I205*K205-L205</f>
        <v>0</v>
      </c>
    </row>
    <row r="206" spans="13:13" ht="15.75" customHeight="1" x14ac:dyDescent="0.2">
      <c r="M206" s="31">
        <f>I206*K206-L206</f>
        <v>0</v>
      </c>
    </row>
    <row r="207" spans="13:13" ht="15.75" customHeight="1" x14ac:dyDescent="0.2">
      <c r="M207" s="31">
        <f>I207*K207-L207</f>
        <v>0</v>
      </c>
    </row>
    <row r="208" spans="13:13" ht="15.75" customHeight="1" x14ac:dyDescent="0.2">
      <c r="M208" s="31">
        <f>I208*K208-L208</f>
        <v>0</v>
      </c>
    </row>
    <row r="209" spans="13:13" ht="15.75" customHeight="1" x14ac:dyDescent="0.2">
      <c r="M209" s="31">
        <f>I209*K209-L209</f>
        <v>0</v>
      </c>
    </row>
    <row r="210" spans="13:13" ht="15.75" customHeight="1" x14ac:dyDescent="0.2">
      <c r="M210" s="31">
        <f>I210*K210-L210</f>
        <v>0</v>
      </c>
    </row>
    <row r="211" spans="13:13" ht="15.75" customHeight="1" x14ac:dyDescent="0.2">
      <c r="M211" s="31">
        <f>I211*K211-L211</f>
        <v>0</v>
      </c>
    </row>
    <row r="212" spans="13:13" ht="15.75" customHeight="1" x14ac:dyDescent="0.2">
      <c r="M212" s="31">
        <f>I212*K212-L212</f>
        <v>0</v>
      </c>
    </row>
    <row r="213" spans="13:13" ht="15.75" customHeight="1" x14ac:dyDescent="0.2">
      <c r="M213" s="31">
        <f>I213*K213-L213</f>
        <v>0</v>
      </c>
    </row>
    <row r="214" spans="13:13" ht="15.75" customHeight="1" x14ac:dyDescent="0.2">
      <c r="M214" s="31">
        <f>I214*K214-L214</f>
        <v>0</v>
      </c>
    </row>
    <row r="215" spans="13:13" ht="15.75" customHeight="1" x14ac:dyDescent="0.2">
      <c r="M215" s="31">
        <f>I215*K215-L215</f>
        <v>0</v>
      </c>
    </row>
    <row r="216" spans="13:13" ht="15.75" customHeight="1" x14ac:dyDescent="0.2">
      <c r="M216" s="31">
        <f>I216*K216-L216</f>
        <v>0</v>
      </c>
    </row>
    <row r="217" spans="13:13" ht="15.75" customHeight="1" x14ac:dyDescent="0.2">
      <c r="M217" s="31">
        <f>I217*K217-L217</f>
        <v>0</v>
      </c>
    </row>
    <row r="218" spans="13:13" ht="15.75" customHeight="1" x14ac:dyDescent="0.2">
      <c r="M218" s="31">
        <f>I218*K218-L218</f>
        <v>0</v>
      </c>
    </row>
    <row r="219" spans="13:13" ht="15.75" customHeight="1" x14ac:dyDescent="0.2">
      <c r="M219" s="31">
        <f>I219*K219-L219</f>
        <v>0</v>
      </c>
    </row>
    <row r="220" spans="13:13" ht="15.75" customHeight="1" x14ac:dyDescent="0.2">
      <c r="M220" s="31">
        <f>I220*K220-L220</f>
        <v>0</v>
      </c>
    </row>
    <row r="221" spans="13:13" ht="15.75" customHeight="1" x14ac:dyDescent="0.2">
      <c r="M221" s="31">
        <f>I221*K221-L221</f>
        <v>0</v>
      </c>
    </row>
    <row r="222" spans="13:13" ht="15.75" customHeight="1" x14ac:dyDescent="0.2">
      <c r="M222" s="31">
        <f>I222*K222-L222</f>
        <v>0</v>
      </c>
    </row>
    <row r="223" spans="13:13" ht="15.75" customHeight="1" x14ac:dyDescent="0.2">
      <c r="M223" s="31">
        <f>I223*K223-L223</f>
        <v>0</v>
      </c>
    </row>
    <row r="224" spans="13:13" ht="15.75" customHeight="1" x14ac:dyDescent="0.2">
      <c r="M224" s="31">
        <f>I224*K224-L224</f>
        <v>0</v>
      </c>
    </row>
    <row r="225" spans="13:13" ht="15.75" customHeight="1" x14ac:dyDescent="0.2">
      <c r="M225" s="31">
        <f>I225*K225-L225</f>
        <v>0</v>
      </c>
    </row>
    <row r="226" spans="13:13" ht="15.75" customHeight="1" x14ac:dyDescent="0.2"/>
    <row r="227" spans="13:13" ht="15.75" customHeight="1" x14ac:dyDescent="0.2"/>
    <row r="228" spans="13:13" ht="15.75" customHeight="1" x14ac:dyDescent="0.2"/>
    <row r="229" spans="13:13" ht="15.75" customHeight="1" x14ac:dyDescent="0.2"/>
    <row r="230" spans="13:13" ht="15.75" customHeight="1" x14ac:dyDescent="0.2"/>
    <row r="231" spans="13:13" ht="15.75" customHeight="1" x14ac:dyDescent="0.2"/>
    <row r="232" spans="13:13" ht="15.75" customHeight="1" x14ac:dyDescent="0.2"/>
    <row r="233" spans="13:13" ht="15.75" customHeight="1" x14ac:dyDescent="0.2"/>
    <row r="234" spans="13:13" ht="15.75" customHeight="1" x14ac:dyDescent="0.2"/>
    <row r="235" spans="13:13" ht="15.75" customHeight="1" x14ac:dyDescent="0.2"/>
    <row r="236" spans="13:13" ht="15.75" customHeight="1" x14ac:dyDescent="0.2"/>
    <row r="237" spans="13:13" ht="15.75" customHeight="1" x14ac:dyDescent="0.2"/>
    <row r="238" spans="13:13" ht="15.75" customHeight="1" x14ac:dyDescent="0.2"/>
    <row r="239" spans="13:13" ht="15.75" customHeight="1" x14ac:dyDescent="0.2"/>
    <row r="240" spans="13:13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</sheetData>
  <conditionalFormatting sqref="N3:N5 M3:M25 N8 N12:N14 N16:N17 N19 M33:M67 N35 N41:N67 M29:M30 M79:M225">
    <cfRule type="cellIs" dxfId="2" priority="3" operator="greaterThan">
      <formula>0</formula>
    </cfRule>
  </conditionalFormatting>
  <conditionalFormatting sqref="M69">
    <cfRule type="cellIs" dxfId="1" priority="2" operator="greaterThan">
      <formula>0</formula>
    </cfRule>
  </conditionalFormatting>
  <conditionalFormatting sqref="M68">
    <cfRule type="cellIs" dxfId="0" priority="1" operator="greaterThan">
      <formula>0</formula>
    </cfRule>
  </conditionalFormatting>
  <hyperlinks>
    <hyperlink ref="A22" r:id="rId1" location="id=13163&amp;model=res.partner" display="https://crm.xeoris.com/web - id=13163&amp;model=res.partner" xr:uid="{B3A4CF53-AE3F-644A-A3A6-57D2A2701146}"/>
    <hyperlink ref="A26" r:id="rId2" location="id=22190&amp;model=res.partner" display="https://crm.xeoris.com/web - id=22190&amp;model=res.partner" xr:uid="{A4FAB9AF-857F-5B40-80BD-88E8F3D30657}"/>
    <hyperlink ref="A30" r:id="rId3" location="id=23447&amp;model=res.partner" display="https://crm.xeoris.com/web?debug= - id=23447&amp;model=res.partner" xr:uid="{11D68D13-1FAD-5944-A3E0-C883901F76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Criado García</dc:creator>
  <cp:lastModifiedBy>Juan Manuel Criado García</cp:lastModifiedBy>
  <dcterms:created xsi:type="dcterms:W3CDTF">2026-01-13T16:21:20Z</dcterms:created>
  <dcterms:modified xsi:type="dcterms:W3CDTF">2026-01-13T22:28:54Z</dcterms:modified>
</cp:coreProperties>
</file>